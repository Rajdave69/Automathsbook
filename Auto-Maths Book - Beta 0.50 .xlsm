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showInkAnnotation="0" codeName="ThisWorkbook"/>
  <bookViews>
    <workbookView xWindow="480" yWindow="75" windowWidth="18195" windowHeight="11760"/>
  </bookViews>
  <sheets>
    <sheet name="Calculator" sheetId="1" r:id="rId1"/>
    <sheet name="Update History" sheetId="3" r:id="rId2"/>
    <sheet name="complex calculations " sheetId="5" state="hidden" r:id="rId3"/>
    <sheet name="Help" sheetId="6" r:id="rId4"/>
  </sheets>
  <definedNames>
    <definedName name="_xlnm._FilterDatabase" localSheetId="0" hidden="1">Calculator!$B$6</definedName>
    <definedName name="asdfghjkl2">Calculator!$B$36,Calculator!#REF!,Calculator!$B$38:$C$39,Calculator!#REF!,Calculator!#REF!</definedName>
    <definedName name="_xlnm.Print_Area" localSheetId="0">Calculator!$A$1:$K$272</definedName>
    <definedName name="_xlnm.Print_Area" localSheetId="2">'complex calculations '!$A$1:$O$102</definedName>
    <definedName name="_xlnm.Print_Area" localSheetId="3">Help!$A$1:$M$75</definedName>
    <definedName name="_xlnm.Print_Area" localSheetId="1">'Update History'!$A$1:$G$24</definedName>
    <definedName name="Z_904595E5_53F2_4A39_BD2C_9E911C3751B8_.wvu.FilterData" localSheetId="0" hidden="1">Calculator!$B$6</definedName>
    <definedName name="Z_904595E5_53F2_4A39_BD2C_9E911C3751B8_.wvu.PrintArea" localSheetId="0" hidden="1">Calculator!$A$1:$K$272</definedName>
    <definedName name="Z_904595E5_53F2_4A39_BD2C_9E911C3751B8_.wvu.PrintArea" localSheetId="2" hidden="1">'complex calculations '!$A$1:$O$102</definedName>
    <definedName name="Z_904595E5_53F2_4A39_BD2C_9E911C3751B8_.wvu.PrintArea" localSheetId="3" hidden="1">Help!$A$1:$M$75</definedName>
    <definedName name="Z_904595E5_53F2_4A39_BD2C_9E911C3751B8_.wvu.PrintArea" localSheetId="1" hidden="1">'Update History'!$A$1:$G$24</definedName>
    <definedName name="Z_904595E5_53F2_4A39_BD2C_9E911C3751B8_.wvu.Rows" localSheetId="0" hidden="1">Calculator!$5:$102,Calculator!$110:$300</definedName>
    <definedName name="Z_904595E5_53F2_4A39_BD2C_9E911C3751B8_.wvu.Rows" localSheetId="2" hidden="1">'complex calculations '!$33:$212</definedName>
    <definedName name="Z_904595E5_53F2_4A39_BD2C_9E911C3751B8_.wvu.Rows" localSheetId="3" hidden="1">Help!$15:$68,Help!$110:$190</definedName>
    <definedName name="Z_904595E5_53F2_4A39_BD2C_9E911C3751B8_.wvu.Rows" localSheetId="1" hidden="1">'Update History'!$18:$22</definedName>
  </definedNames>
  <calcPr calcId="145621"/>
  <customWorkbookViews>
    <customWorkbookView name="POSTED" guid="{904595E5-53F2-4A39-BD2C-9E911C3751B8}" maximized="1" windowWidth="1276" windowHeight="799" activeSheetId="1" showFormulaBar="0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208" i="1" l="1"/>
  <c r="J37" i="1" l="1"/>
  <c r="J35" i="1"/>
  <c r="D158" i="1" l="1"/>
  <c r="D155" i="1"/>
  <c r="D259" i="1" l="1"/>
  <c r="D262" i="1"/>
  <c r="D265" i="1"/>
  <c r="D268" i="1"/>
  <c r="D256" i="1"/>
  <c r="D253" i="1"/>
  <c r="D247" i="1"/>
  <c r="D250" i="1"/>
  <c r="D244" i="1"/>
  <c r="D241" i="1"/>
  <c r="J49" i="1" l="1"/>
  <c r="J50" i="1" l="1"/>
  <c r="J48" i="1" l="1"/>
  <c r="D234" i="1" l="1"/>
  <c r="D231" i="1"/>
  <c r="D228" i="1" l="1"/>
  <c r="D225" i="1"/>
  <c r="D222" i="1"/>
  <c r="D199" i="1"/>
  <c r="D59" i="1"/>
  <c r="D152" i="1"/>
  <c r="D149" i="1"/>
  <c r="D146" i="1"/>
  <c r="D143" i="1"/>
  <c r="D140" i="1"/>
  <c r="D137" i="1"/>
  <c r="D134" i="1"/>
  <c r="D131" i="1"/>
  <c r="D128" i="1"/>
  <c r="D125" i="1"/>
  <c r="D119" i="1"/>
  <c r="D122" i="1"/>
  <c r="D205" i="1" l="1"/>
  <c r="D214" i="1"/>
  <c r="D211" i="1"/>
  <c r="D202" i="1" l="1"/>
  <c r="D190" i="1"/>
  <c r="D187" i="1"/>
  <c r="D184" i="1"/>
  <c r="D181" i="1"/>
  <c r="D77" i="1"/>
  <c r="D74" i="1"/>
  <c r="D71" i="1"/>
  <c r="D68" i="1"/>
  <c r="D65" i="1"/>
  <c r="D62" i="1"/>
  <c r="D56" i="1" l="1"/>
  <c r="D178" i="1" l="1"/>
  <c r="D175" i="1"/>
  <c r="J45" i="1" l="1"/>
  <c r="J39" i="1"/>
  <c r="J47" i="1" l="1"/>
  <c r="J46" i="1"/>
  <c r="J44" i="1"/>
  <c r="J43" i="1"/>
  <c r="J42" i="1"/>
  <c r="J41" i="1"/>
  <c r="J40" i="1"/>
  <c r="J38" i="1"/>
  <c r="J36" i="1"/>
</calcChain>
</file>

<file path=xl/sharedStrings.xml><?xml version="1.0" encoding="utf-8"?>
<sst xmlns="http://schemas.openxmlformats.org/spreadsheetml/2006/main" count="206" uniqueCount="164">
  <si>
    <t>Volume of rectangle</t>
  </si>
  <si>
    <t>Peremeter of sq</t>
  </si>
  <si>
    <t>first edition</t>
  </si>
  <si>
    <t>added more tools and accesebility</t>
  </si>
  <si>
    <t>added instructions and update history page</t>
  </si>
  <si>
    <t>added area and volume</t>
  </si>
  <si>
    <t>modifying formulas</t>
  </si>
  <si>
    <t>=1 box calculations</t>
  </si>
  <si>
    <t>=3 box calculations</t>
  </si>
  <si>
    <t>=2 box calculations</t>
  </si>
  <si>
    <t xml:space="preserve"> 1. Enter numbers in the yellow boxes.</t>
  </si>
  <si>
    <t xml:space="preserve">        the shade of the number boxes. Type the numbers in the respected boxes</t>
  </si>
  <si>
    <t>.</t>
  </si>
  <si>
    <t>eg</t>
  </si>
  <si>
    <t>=5+5</t>
  </si>
  <si>
    <t>use the symbol "+" for addition</t>
  </si>
  <si>
    <t>use the symbol "*" for multiplication</t>
  </si>
  <si>
    <t>use the symbol "/" for subtraction</t>
  </si>
  <si>
    <t>use the symbol "-" for subtraction</t>
  </si>
  <si>
    <t>=5/6+(14*6)</t>
  </si>
  <si>
    <t>the formula will then change to the answer</t>
  </si>
  <si>
    <t>once you understood just press this button to remove all the text exept the green one and reveal the calculation page</t>
  </si>
  <si>
    <t xml:space="preserve">      6939937510 5820974944 5923078164 0628620899</t>
  </si>
  <si>
    <t xml:space="preserve">      8628034825 342117067</t>
  </si>
  <si>
    <t>π = 3.1415926535 8979323846 2643383279 5028841971</t>
  </si>
  <si>
    <t xml:space="preserve">try it here </t>
  </si>
  <si>
    <t>To do complex calculations follow the steps</t>
  </si>
  <si>
    <t>Just put a equal sign before the calculation and leave no space</t>
  </si>
  <si>
    <t xml:space="preserve">minimised work space and preperation for complex calculations </t>
  </si>
  <si>
    <t>make a secret tab and added more functions to calculator</t>
  </si>
  <si>
    <t>removed the secret tab and made color blind mode</t>
  </si>
  <si>
    <t>beta 0.22</t>
  </si>
  <si>
    <t>Measurement calculator</t>
  </si>
  <si>
    <t>Select the type of measurement calculator you want</t>
  </si>
  <si>
    <t>Distance calculator</t>
  </si>
  <si>
    <t>Answer=</t>
  </si>
  <si>
    <t>Date (m/d/y)</t>
  </si>
  <si>
    <t>Kg to stone</t>
  </si>
  <si>
    <t>Kg to Imperial ton</t>
  </si>
  <si>
    <t>Km to yard</t>
  </si>
  <si>
    <t>Yard to km</t>
  </si>
  <si>
    <t>DO IT MANUALLY UNTIL FUTURE UPDATES</t>
  </si>
  <si>
    <t>Complex calculations</t>
  </si>
  <si>
    <t>added measurement calculator and modified formulas</t>
  </si>
  <si>
    <t>made major changes, removed bugs &amp; added confirm box for color blind mode</t>
  </si>
  <si>
    <t>Help Page</t>
  </si>
  <si>
    <t>2. can you show screenshots of the other versions?</t>
  </si>
  <si>
    <t xml:space="preserve">answer- </t>
  </si>
  <si>
    <t>beta 0.1</t>
  </si>
  <si>
    <t>litre to imperial gallon</t>
  </si>
  <si>
    <t>Temprature calculator</t>
  </si>
  <si>
    <t>added to the measurement calculator</t>
  </si>
  <si>
    <t>ML to US fluid ounce</t>
  </si>
  <si>
    <t>Litre to Kilolitre</t>
  </si>
  <si>
    <t>Kilo litre to Litre</t>
  </si>
  <si>
    <t>Imperial Gallon to Litre</t>
  </si>
  <si>
    <t>US fluid Ounce to ml</t>
  </si>
  <si>
    <t>US gallon to Litre</t>
  </si>
  <si>
    <t>Litre to US gallon</t>
  </si>
  <si>
    <t xml:space="preserve">Stone to ounce </t>
  </si>
  <si>
    <t>Ounce to stone</t>
  </si>
  <si>
    <t>Pound to kg</t>
  </si>
  <si>
    <t>Answers</t>
  </si>
  <si>
    <t>Addition</t>
  </si>
  <si>
    <t xml:space="preserve">Subtraction </t>
  </si>
  <si>
    <t>Multiplication</t>
  </si>
  <si>
    <t>Division</t>
  </si>
  <si>
    <t>Power</t>
  </si>
  <si>
    <t>Sq root</t>
  </si>
  <si>
    <t>Area of sq</t>
  </si>
  <si>
    <t>Volume of sq</t>
  </si>
  <si>
    <t>Area of triangle</t>
  </si>
  <si>
    <t>Peremeter of rectangle</t>
  </si>
  <si>
    <t>Volume of prism</t>
  </si>
  <si>
    <t>Fixed a major bug that would allow you to edit the file when it is locked</t>
  </si>
  <si>
    <t xml:space="preserve">correcting mistakes &amp; added clear button </t>
  </si>
  <si>
    <t>Time calculator</t>
  </si>
  <si>
    <t xml:space="preserve">      </t>
  </si>
  <si>
    <t>Type here</t>
  </si>
  <si>
    <t>eg:   =34*5-(6/5)</t>
  </si>
  <si>
    <t>error</t>
  </si>
  <si>
    <t>Area of circle</t>
  </si>
  <si>
    <t>Volume calculator</t>
  </si>
  <si>
    <t>Peremeter of pentagon</t>
  </si>
  <si>
    <t>=4 box calculations</t>
  </si>
  <si>
    <t>=5 box calculatons</t>
  </si>
  <si>
    <t>develouper page</t>
  </si>
  <si>
    <t>password = rajdave</t>
  </si>
  <si>
    <t>develouper email : rajdave8002@gmail</t>
  </si>
  <si>
    <t>Area of pentagon</t>
  </si>
  <si>
    <t>Answer-</t>
  </si>
  <si>
    <t>added 3 new calculation types and fixed some bugs</t>
  </si>
  <si>
    <t>Gram to Ounce</t>
  </si>
  <si>
    <t>Ounce to Gram</t>
  </si>
  <si>
    <t>Stone to Kg</t>
  </si>
  <si>
    <t>Imperial Ton to kg</t>
  </si>
  <si>
    <t>US Ton to kg</t>
  </si>
  <si>
    <t>Kg to us Ton</t>
  </si>
  <si>
    <t>Kg to Pound</t>
  </si>
  <si>
    <t>Currency Calculator</t>
  </si>
  <si>
    <t xml:space="preserve">Qar to USD </t>
  </si>
  <si>
    <t>USD TO QAR</t>
  </si>
  <si>
    <t>QAR TO INR</t>
  </si>
  <si>
    <t>INR TO QAR</t>
  </si>
  <si>
    <t>GBP TO QAR</t>
  </si>
  <si>
    <t>QAR TO GBP</t>
  </si>
  <si>
    <t>INR TO USD</t>
  </si>
  <si>
    <t>USD TO INR</t>
  </si>
  <si>
    <t>GBP TO INR</t>
  </si>
  <si>
    <t>INR TO GBP</t>
  </si>
  <si>
    <t>added currency calculator and fixed some bugs</t>
  </si>
  <si>
    <t>Karat (diamond) to Gram</t>
  </si>
  <si>
    <t>Gram to Karat (diamond)</t>
  </si>
  <si>
    <t>Fareniet to Kelvin</t>
  </si>
  <si>
    <t>Kelvin to Fareneit</t>
  </si>
  <si>
    <t>Faraniet to Celcius</t>
  </si>
  <si>
    <t xml:space="preserve">Celcius to Faraneit </t>
  </si>
  <si>
    <t xml:space="preserve">Kelvin to Celcius </t>
  </si>
  <si>
    <t>Celcius to Kelvin</t>
  </si>
  <si>
    <t>Day to Minute</t>
  </si>
  <si>
    <t>Week to Minute</t>
  </si>
  <si>
    <t xml:space="preserve">Hour to Second </t>
  </si>
  <si>
    <t>Week to Hour</t>
  </si>
  <si>
    <t>Month to Hour</t>
  </si>
  <si>
    <t>Update history</t>
  </si>
  <si>
    <t>Name</t>
  </si>
  <si>
    <t>added feedback page items and fixed a minor bug</t>
  </si>
  <si>
    <t xml:space="preserve">NOTE : If the Input box is Empty, </t>
  </si>
  <si>
    <t xml:space="preserve">     The input will be concidered as "0"</t>
  </si>
  <si>
    <t>Yard to mile</t>
  </si>
  <si>
    <t>Mile to yard</t>
  </si>
  <si>
    <t>CM to inch</t>
  </si>
  <si>
    <t>Inch to cm</t>
  </si>
  <si>
    <t>Beta 0.25.3</t>
  </si>
  <si>
    <t>Beta 0.25.2</t>
  </si>
  <si>
    <t>Beta 0.25</t>
  </si>
  <si>
    <t>Beta 0.24.3</t>
  </si>
  <si>
    <t>Beta 0.24.2</t>
  </si>
  <si>
    <t>Beta 0.24</t>
  </si>
  <si>
    <t>Beta 0.23</t>
  </si>
  <si>
    <t>Beta 0.22</t>
  </si>
  <si>
    <t>Beta 0.21</t>
  </si>
  <si>
    <t>Beta0.2</t>
  </si>
  <si>
    <t>Beta 0.1</t>
  </si>
  <si>
    <t>Beta 0.09</t>
  </si>
  <si>
    <t>Beta 0.08</t>
  </si>
  <si>
    <t>Beta 0.07</t>
  </si>
  <si>
    <t>Beta 0.06</t>
  </si>
  <si>
    <t>Beta 0.05</t>
  </si>
  <si>
    <t>Beta v1</t>
  </si>
  <si>
    <t>Changed the Backend Macros, Made grammar better and improved overall features</t>
  </si>
  <si>
    <t>Beta 0.50</t>
  </si>
  <si>
    <t>Click on the buttons below to choose the calculator you want.</t>
  </si>
  <si>
    <t xml:space="preserve"> 2. Check the answer boxes. The shade of answer boxes matches </t>
  </si>
  <si>
    <t xml:space="preserve"> 3. The colors will show you and then if it’s a one cell calculation then type in the top cell.</t>
  </si>
  <si>
    <t xml:space="preserve"> 4. Easy to Differentiate mode is non-toggalable.</t>
  </si>
  <si>
    <t>Once you understand, Press this button to remove all the instructions and reveal the calculator</t>
  </si>
  <si>
    <t>Try here (Addition)</t>
  </si>
  <si>
    <t>Welcome to the Help Page</t>
  </si>
  <si>
    <t>There isn't much here, But if you would like help, Visit our Website/Github Page</t>
  </si>
  <si>
    <t>Auto Maths Book is an Open-Source project. Visit our github page for the source code.</t>
  </si>
  <si>
    <t>This is an Open-Source Project. Visit our Website - sites.google.com/view/automathsbook</t>
  </si>
  <si>
    <t>-Github page in Website-</t>
  </si>
  <si>
    <r>
      <t xml:space="preserve">AUTO MATHS Book </t>
    </r>
    <r>
      <rPr>
        <sz val="10"/>
        <color theme="1"/>
        <rFont val="Agency FB"/>
        <family val="2"/>
      </rPr>
      <t>Beta 0.50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</si>
</sst>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36"/>
      <color theme="1"/>
      <name val="Algerian"/>
      <family val="5"/>
    </font>
    <font>
      <sz val="11"/>
      <color theme="1"/>
      <name val="Bahnschrift Light Condensed"/>
      <family val="2"/>
    </font>
    <font>
      <sz val="11"/>
      <color theme="1"/>
      <name val="Agency FB"/>
      <family val="2"/>
    </font>
    <font>
      <sz val="11"/>
      <color rgb="FF9C0006"/>
      <name val="Calibri"/>
      <family val="2"/>
      <scheme val="minor"/>
    </font>
    <font>
      <sz val="10"/>
      <color theme="1"/>
      <name val="Agency FB"/>
      <family val="2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gency FB"/>
      <family val="2"/>
    </font>
    <font>
      <sz val="14"/>
      <color theme="1"/>
      <name val="Agency FB"/>
      <family val="2"/>
    </font>
    <font>
      <sz val="8"/>
      <color theme="0"/>
      <name val="Calibri"/>
      <family val="2"/>
      <scheme val="minor"/>
    </font>
    <font>
      <sz val="11"/>
      <color rgb="FF9C0006"/>
      <name val="Arial Narrow"/>
      <family val="2"/>
    </font>
    <font>
      <sz val="14"/>
      <color theme="1"/>
      <name val="Calibri"/>
      <family val="2"/>
      <scheme val="minor"/>
    </font>
    <font>
      <sz val="14"/>
      <color rgb="FF9C65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Bahnschrift Condensed"/>
      <family val="2"/>
    </font>
    <font>
      <sz val="14"/>
      <color theme="1"/>
      <name val="Bahnschrift Light Condensed"/>
      <family val="2"/>
    </font>
    <font>
      <sz val="11"/>
      <color rgb="FF9C0006"/>
      <name val="Agency FB"/>
      <family val="2"/>
    </font>
    <font>
      <sz val="11"/>
      <color rgb="FF000000"/>
      <name val="Calibri"/>
      <family val="2"/>
      <scheme val="minor"/>
    </font>
    <font>
      <sz val="11"/>
      <color theme="1"/>
      <name val="AR CENA"/>
    </font>
    <font>
      <sz val="12"/>
      <color theme="1"/>
      <name val="Agency FB"/>
      <family val="2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50"/>
      <color theme="1"/>
      <name val="Agency FB"/>
      <family val="2"/>
    </font>
    <font>
      <sz val="16"/>
      <color theme="1"/>
      <name val="Agency FB"/>
      <family val="2"/>
    </font>
    <font>
      <sz val="20"/>
      <color theme="1"/>
      <name val="Agency FB"/>
      <family val="2"/>
    </font>
    <font>
      <b/>
      <i/>
      <u/>
      <sz val="14"/>
      <color theme="1"/>
      <name val="Agency FB"/>
      <family val="2"/>
    </font>
    <font>
      <sz val="11"/>
      <color rgb="FF222222"/>
      <name val="Arial"/>
      <family val="2"/>
    </font>
    <font>
      <b/>
      <sz val="11"/>
      <color theme="1"/>
      <name val="Bell MT"/>
      <family val="1"/>
    </font>
    <font>
      <sz val="11"/>
      <color rgb="FF000000"/>
      <name val="Segoe UI"/>
      <family val="2"/>
    </font>
    <font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BC01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rgb="FFFFCD3F"/>
        <bgColor indexed="64"/>
      </patternFill>
    </fill>
  </fills>
  <borders count="5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DashDot">
        <color rgb="FF00B0F0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/>
      <bottom/>
      <diagonal/>
    </border>
    <border>
      <left style="slantDashDot">
        <color indexed="64"/>
      </left>
      <right style="thick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thick">
        <color indexed="64"/>
      </right>
      <top style="slantDashDot">
        <color indexed="64"/>
      </top>
      <bottom/>
      <diagonal/>
    </border>
    <border>
      <left style="slantDashDot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rgb="FF7F7F7F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2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6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25" fillId="19" borderId="40" applyNumberFormat="0" applyAlignment="0" applyProtection="0"/>
  </cellStyleXfs>
  <cellXfs count="187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5" xfId="0" applyFont="1" applyBorder="1"/>
    <xf numFmtId="0" fontId="5" fillId="0" borderId="0" xfId="0" applyFont="1"/>
    <xf numFmtId="0" fontId="0" fillId="0" borderId="0" xfId="0" applyProtection="1"/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quotePrefix="1" applyFill="1" applyBorder="1" applyProtection="1"/>
    <xf numFmtId="0" fontId="0" fillId="10" borderId="0" xfId="0" applyFill="1"/>
    <xf numFmtId="0" fontId="0" fillId="10" borderId="0" xfId="0" applyFill="1" applyAlignment="1">
      <alignment horizontal="center"/>
    </xf>
    <xf numFmtId="0" fontId="0" fillId="0" borderId="0" xfId="0" applyBorder="1" applyAlignment="1" applyProtection="1">
      <alignment horizontal="center"/>
    </xf>
    <xf numFmtId="0" fontId="0" fillId="10" borderId="0" xfId="0" applyFill="1" applyBorder="1" applyProtection="1"/>
    <xf numFmtId="0" fontId="8" fillId="13" borderId="13" xfId="8" applyBorder="1" applyProtection="1"/>
    <xf numFmtId="0" fontId="10" fillId="14" borderId="13" xfId="9" applyBorder="1" applyProtection="1"/>
    <xf numFmtId="0" fontId="12" fillId="0" borderId="0" xfId="0" applyFont="1" applyAlignment="1"/>
    <xf numFmtId="0" fontId="2" fillId="3" borderId="0" xfId="2" quotePrefix="1"/>
    <xf numFmtId="0" fontId="0" fillId="0" borderId="0" xfId="0" applyAlignment="1"/>
    <xf numFmtId="0" fontId="6" fillId="4" borderId="0" xfId="3" applyProtection="1">
      <protection locked="0"/>
    </xf>
    <xf numFmtId="0" fontId="1" fillId="2" borderId="0" xfId="1" applyAlignment="1">
      <alignment horizontal="left"/>
    </xf>
    <xf numFmtId="0" fontId="12" fillId="0" borderId="0" xfId="0" applyFont="1" applyBorder="1" applyProtection="1"/>
    <xf numFmtId="0" fontId="15" fillId="0" borderId="0" xfId="0" applyFont="1"/>
    <xf numFmtId="0" fontId="12" fillId="0" borderId="0" xfId="0" applyFont="1" applyBorder="1" applyAlignment="1" applyProtection="1"/>
    <xf numFmtId="0" fontId="15" fillId="10" borderId="0" xfId="0" applyFont="1" applyFill="1"/>
    <xf numFmtId="0" fontId="15" fillId="0" borderId="0" xfId="0" quotePrefix="1" applyFont="1"/>
    <xf numFmtId="0" fontId="15" fillId="10" borderId="0" xfId="0" applyFont="1" applyFill="1" applyAlignment="1">
      <alignment horizontal="center"/>
    </xf>
    <xf numFmtId="0" fontId="15" fillId="0" borderId="0" xfId="0" applyFont="1" applyProtection="1"/>
    <xf numFmtId="0" fontId="16" fillId="3" borderId="13" xfId="2" applyFont="1" applyBorder="1" applyProtection="1"/>
    <xf numFmtId="0" fontId="12" fillId="0" borderId="4" xfId="0" applyFont="1" applyBorder="1" applyProtection="1"/>
    <xf numFmtId="0" fontId="15" fillId="12" borderId="13" xfId="7" applyFont="1" applyBorder="1" applyProtection="1"/>
    <xf numFmtId="0" fontId="15" fillId="13" borderId="13" xfId="8" quotePrefix="1" applyFont="1" applyBorder="1" applyProtection="1"/>
    <xf numFmtId="0" fontId="15" fillId="13" borderId="13" xfId="8" applyFont="1" applyBorder="1" applyProtection="1"/>
    <xf numFmtId="0" fontId="17" fillId="14" borderId="13" xfId="9" applyFont="1" applyBorder="1" applyProtection="1"/>
    <xf numFmtId="0" fontId="14" fillId="4" borderId="9" xfId="3" applyFont="1" applyBorder="1" applyAlignment="1" applyProtection="1">
      <protection locked="0"/>
    </xf>
    <xf numFmtId="0" fontId="19" fillId="16" borderId="0" xfId="0" applyFont="1" applyFill="1" applyAlignment="1">
      <alignment horizontal="center"/>
    </xf>
    <xf numFmtId="0" fontId="1" fillId="10" borderId="0" xfId="1" applyFill="1" applyAlignment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5" xfId="0" applyBorder="1" applyProtection="1"/>
    <xf numFmtId="0" fontId="0" fillId="10" borderId="5" xfId="0" applyFill="1" applyBorder="1"/>
    <xf numFmtId="0" fontId="0" fillId="10" borderId="5" xfId="0" applyFill="1" applyBorder="1" applyAlignment="1">
      <alignment horizontal="center"/>
    </xf>
    <xf numFmtId="0" fontId="15" fillId="10" borderId="0" xfId="0" applyFont="1" applyFill="1" applyBorder="1"/>
    <xf numFmtId="0" fontId="0" fillId="10" borderId="0" xfId="0" applyFill="1" applyBorder="1"/>
    <xf numFmtId="0" fontId="15" fillId="10" borderId="0" xfId="0" applyFont="1" applyFill="1" applyBorder="1" applyAlignment="1">
      <alignment horizontal="center"/>
    </xf>
    <xf numFmtId="0" fontId="4" fillId="0" borderId="7" xfId="0" applyFont="1" applyBorder="1" applyProtection="1"/>
    <xf numFmtId="0" fontId="0" fillId="0" borderId="27" xfId="0" applyBorder="1"/>
    <xf numFmtId="0" fontId="4" fillId="0" borderId="28" xfId="0" applyFont="1" applyBorder="1"/>
    <xf numFmtId="0" fontId="0" fillId="0" borderId="28" xfId="0" quotePrefix="1" applyBorder="1"/>
    <xf numFmtId="0" fontId="0" fillId="0" borderId="28" xfId="0" applyBorder="1"/>
    <xf numFmtId="0" fontId="0" fillId="0" borderId="29" xfId="0" applyBorder="1"/>
    <xf numFmtId="0" fontId="0" fillId="0" borderId="30" xfId="0" applyBorder="1" applyProtection="1"/>
    <xf numFmtId="0" fontId="5" fillId="0" borderId="0" xfId="0" applyFont="1" applyBorder="1"/>
    <xf numFmtId="0" fontId="0" fillId="0" borderId="30" xfId="0" applyBorder="1"/>
    <xf numFmtId="0" fontId="5" fillId="0" borderId="0" xfId="0" quotePrefix="1" applyFont="1" applyBorder="1" applyProtection="1"/>
    <xf numFmtId="0" fontId="9" fillId="5" borderId="0" xfId="4" applyFill="1" applyBorder="1" applyProtection="1"/>
    <xf numFmtId="0" fontId="0" fillId="6" borderId="0" xfId="5" applyFont="1" applyBorder="1" applyProtection="1"/>
    <xf numFmtId="0" fontId="0" fillId="16" borderId="13" xfId="0" applyFill="1" applyBorder="1"/>
    <xf numFmtId="0" fontId="0" fillId="0" borderId="4" xfId="0" applyFont="1" applyBorder="1"/>
    <xf numFmtId="0" fontId="0" fillId="0" borderId="0" xfId="0" applyFont="1" applyBorder="1"/>
    <xf numFmtId="0" fontId="20" fillId="4" borderId="9" xfId="3" applyFont="1" applyBorder="1" applyAlignment="1" applyProtection="1"/>
    <xf numFmtId="0" fontId="20" fillId="4" borderId="9" xfId="3" applyFont="1" applyBorder="1" applyProtection="1"/>
    <xf numFmtId="0" fontId="20" fillId="4" borderId="10" xfId="3" applyFont="1" applyBorder="1" applyProtection="1"/>
    <xf numFmtId="0" fontId="21" fillId="0" borderId="30" xfId="0" applyFont="1" applyBorder="1"/>
    <xf numFmtId="0" fontId="21" fillId="0" borderId="30" xfId="0" applyFont="1" applyBorder="1" applyProtection="1"/>
    <xf numFmtId="0" fontId="0" fillId="17" borderId="0" xfId="0" applyFill="1" applyBorder="1"/>
    <xf numFmtId="0" fontId="0" fillId="17" borderId="0" xfId="0" applyFill="1"/>
    <xf numFmtId="0" fontId="12" fillId="0" borderId="0" xfId="0" applyFont="1" applyProtection="1"/>
    <xf numFmtId="0" fontId="22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38" xfId="0" applyBorder="1"/>
    <xf numFmtId="0" fontId="23" fillId="0" borderId="0" xfId="0" applyFont="1" applyBorder="1"/>
    <xf numFmtId="0" fontId="24" fillId="0" borderId="0" xfId="0" applyFont="1" applyBorder="1"/>
    <xf numFmtId="0" fontId="0" fillId="0" borderId="0" xfId="0" applyFont="1"/>
    <xf numFmtId="0" fontId="0" fillId="9" borderId="0" xfId="0" applyFont="1" applyFill="1"/>
    <xf numFmtId="0" fontId="0" fillId="8" borderId="0" xfId="0" applyFont="1" applyFill="1"/>
    <xf numFmtId="14" fontId="0" fillId="0" borderId="22" xfId="0" applyNumberFormat="1" applyFont="1" applyBorder="1"/>
    <xf numFmtId="0" fontId="0" fillId="9" borderId="22" xfId="0" applyFont="1" applyFill="1" applyBorder="1"/>
    <xf numFmtId="0" fontId="1" fillId="2" borderId="0" xfId="1" applyFont="1" applyAlignment="1">
      <alignment horizontal="left"/>
    </xf>
    <xf numFmtId="0" fontId="6" fillId="4" borderId="0" xfId="3" applyBorder="1" applyProtection="1"/>
    <xf numFmtId="0" fontId="10" fillId="18" borderId="0" xfId="10" applyBorder="1" applyProtection="1">
      <protection locked="0"/>
    </xf>
    <xf numFmtId="0" fontId="6" fillId="4" borderId="0" xfId="3" applyBorder="1"/>
    <xf numFmtId="0" fontId="5" fillId="0" borderId="0" xfId="0" applyFont="1" applyFill="1" applyBorder="1" applyAlignment="1">
      <alignment horizontal="right"/>
    </xf>
    <xf numFmtId="0" fontId="10" fillId="18" borderId="0" xfId="10" applyFont="1" applyBorder="1" applyProtection="1">
      <protection locked="0"/>
    </xf>
    <xf numFmtId="0" fontId="6" fillId="4" borderId="39" xfId="3" applyFont="1" applyBorder="1" applyProtection="1"/>
    <xf numFmtId="0" fontId="0" fillId="0" borderId="0" xfId="0" quotePrefix="1" applyBorder="1"/>
    <xf numFmtId="0" fontId="5" fillId="0" borderId="0" xfId="0" applyFont="1" applyBorder="1" applyProtection="1"/>
    <xf numFmtId="0" fontId="6" fillId="4" borderId="0" xfId="3" applyFont="1" applyBorder="1" applyProtection="1"/>
    <xf numFmtId="0" fontId="6" fillId="4" borderId="0" xfId="3"/>
    <xf numFmtId="0" fontId="10" fillId="18" borderId="0" xfId="10" applyProtection="1">
      <protection locked="0"/>
    </xf>
    <xf numFmtId="0" fontId="0" fillId="0" borderId="7" xfId="0" quotePrefix="1" applyBorder="1" applyProtection="1"/>
    <xf numFmtId="0" fontId="0" fillId="0" borderId="7" xfId="0" applyBorder="1" applyProtection="1"/>
    <xf numFmtId="0" fontId="1" fillId="10" borderId="41" xfId="1" applyFill="1" applyBorder="1" applyAlignment="1"/>
    <xf numFmtId="0" fontId="5" fillId="0" borderId="1" xfId="0" applyFont="1" applyBorder="1"/>
    <xf numFmtId="0" fontId="24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5" fillId="0" borderId="4" xfId="0" applyFont="1" applyBorder="1"/>
    <xf numFmtId="0" fontId="10" fillId="18" borderId="4" xfId="10" applyBorder="1" applyProtection="1">
      <protection locked="0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0" fontId="5" fillId="0" borderId="4" xfId="0" applyFont="1" applyBorder="1" applyProtection="1"/>
    <xf numFmtId="0" fontId="0" fillId="0" borderId="1" xfId="0" applyBorder="1"/>
    <xf numFmtId="0" fontId="5" fillId="0" borderId="0" xfId="0" applyFont="1" applyBorder="1" applyAlignment="1">
      <alignment horizontal="right"/>
    </xf>
    <xf numFmtId="0" fontId="30" fillId="0" borderId="0" xfId="0" applyFont="1"/>
    <xf numFmtId="0" fontId="12" fillId="0" borderId="4" xfId="0" applyFont="1" applyBorder="1"/>
    <xf numFmtId="0" fontId="0" fillId="10" borderId="0" xfId="0" applyFill="1" applyProtection="1"/>
    <xf numFmtId="0" fontId="0" fillId="10" borderId="0" xfId="0" applyFill="1" applyAlignment="1" applyProtection="1">
      <alignment horizontal="center"/>
    </xf>
    <xf numFmtId="0" fontId="8" fillId="6" borderId="15" xfId="5" applyBorder="1" applyProtection="1"/>
    <xf numFmtId="0" fontId="1" fillId="2" borderId="0" xfId="1" applyAlignment="1" applyProtection="1"/>
    <xf numFmtId="0" fontId="8" fillId="6" borderId="0" xfId="5" applyBorder="1" applyProtection="1"/>
    <xf numFmtId="0" fontId="31" fillId="0" borderId="2" xfId="0" applyFont="1" applyBorder="1"/>
    <xf numFmtId="0" fontId="8" fillId="22" borderId="13" xfId="7" applyFill="1" applyBorder="1" applyProtection="1"/>
    <xf numFmtId="0" fontId="0" fillId="23" borderId="13" xfId="0" applyFill="1" applyBorder="1"/>
    <xf numFmtId="0" fontId="0" fillId="21" borderId="13" xfId="0" applyFill="1" applyBorder="1"/>
    <xf numFmtId="0" fontId="5" fillId="0" borderId="0" xfId="0" quotePrefix="1" applyFont="1" applyFill="1" applyBorder="1" applyProtection="1"/>
    <xf numFmtId="0" fontId="0" fillId="0" borderId="23" xfId="0" applyBorder="1"/>
    <xf numFmtId="0" fontId="0" fillId="0" borderId="31" xfId="0" applyBorder="1"/>
    <xf numFmtId="0" fontId="8" fillId="22" borderId="13" xfId="7" applyFill="1" applyBorder="1" applyProtection="1">
      <protection locked="0"/>
    </xf>
    <xf numFmtId="0" fontId="8" fillId="13" borderId="13" xfId="8" applyBorder="1" applyProtection="1">
      <protection locked="0"/>
    </xf>
    <xf numFmtId="0" fontId="0" fillId="23" borderId="13" xfId="0" applyFill="1" applyBorder="1" applyProtection="1">
      <protection locked="0"/>
    </xf>
    <xf numFmtId="0" fontId="0" fillId="21" borderId="13" xfId="0" applyFill="1" applyBorder="1" applyProtection="1">
      <protection locked="0"/>
    </xf>
    <xf numFmtId="0" fontId="5" fillId="17" borderId="4" xfId="0" applyFont="1" applyFill="1" applyBorder="1" applyAlignment="1">
      <alignment horizontal="left"/>
    </xf>
    <xf numFmtId="0" fontId="8" fillId="14" borderId="13" xfId="9" applyFont="1" applyBorder="1" applyProtection="1">
      <protection locked="0"/>
    </xf>
    <xf numFmtId="0" fontId="0" fillId="0" borderId="3" xfId="0" applyBorder="1" applyAlignment="1" applyProtection="1">
      <alignment horizontal="center"/>
    </xf>
    <xf numFmtId="0" fontId="20" fillId="4" borderId="42" xfId="3" applyFont="1" applyBorder="1" applyProtection="1"/>
    <xf numFmtId="0" fontId="0" fillId="21" borderId="44" xfId="0" applyFill="1" applyBorder="1"/>
    <xf numFmtId="0" fontId="33" fillId="13" borderId="45" xfId="8" quotePrefix="1" applyFont="1" applyBorder="1" applyAlignment="1" applyProtection="1">
      <alignment horizontal="right"/>
    </xf>
    <xf numFmtId="0" fontId="0" fillId="21" borderId="46" xfId="0" applyFill="1" applyBorder="1" applyProtection="1"/>
    <xf numFmtId="0" fontId="8" fillId="13" borderId="45" xfId="8" quotePrefix="1" applyBorder="1" applyAlignment="1" applyProtection="1">
      <alignment horizontal="right"/>
    </xf>
    <xf numFmtId="0" fontId="8" fillId="13" borderId="43" xfId="8" quotePrefix="1" applyBorder="1" applyAlignment="1" applyProtection="1">
      <alignment horizontal="right"/>
    </xf>
    <xf numFmtId="0" fontId="8" fillId="12" borderId="45" xfId="7" quotePrefix="1" applyBorder="1" applyAlignment="1" applyProtection="1">
      <alignment horizontal="right"/>
    </xf>
    <xf numFmtId="0" fontId="10" fillId="14" borderId="45" xfId="9" quotePrefix="1" applyBorder="1" applyAlignment="1" applyProtection="1">
      <alignment horizontal="right"/>
    </xf>
    <xf numFmtId="0" fontId="10" fillId="14" borderId="47" xfId="9" applyBorder="1"/>
    <xf numFmtId="0" fontId="8" fillId="13" borderId="47" xfId="8" quotePrefix="1" applyBorder="1" applyAlignment="1" applyProtection="1">
      <alignment horizontal="right"/>
    </xf>
    <xf numFmtId="0" fontId="0" fillId="21" borderId="45" xfId="0" applyFill="1" applyBorder="1"/>
    <xf numFmtId="0" fontId="32" fillId="20" borderId="48" xfId="0" applyFont="1" applyFill="1" applyBorder="1"/>
    <xf numFmtId="0" fontId="0" fillId="0" borderId="49" xfId="0" applyBorder="1"/>
    <xf numFmtId="0" fontId="12" fillId="0" borderId="0" xfId="0" applyFont="1"/>
    <xf numFmtId="0" fontId="0" fillId="0" borderId="0" xfId="0" quotePrefix="1"/>
    <xf numFmtId="0" fontId="3" fillId="0" borderId="1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11" borderId="14" xfId="6" applyFont="1" applyBorder="1" applyAlignment="1" applyProtection="1">
      <alignment horizontal="center"/>
    </xf>
    <xf numFmtId="0" fontId="0" fillId="11" borderId="35" xfId="6" applyFont="1" applyBorder="1" applyAlignment="1" applyProtection="1">
      <alignment horizontal="center"/>
    </xf>
    <xf numFmtId="0" fontId="18" fillId="10" borderId="4" xfId="0" applyFont="1" applyFill="1" applyBorder="1" applyAlignment="1">
      <alignment horizontal="center"/>
    </xf>
    <xf numFmtId="0" fontId="18" fillId="10" borderId="23" xfId="0" applyFont="1" applyFill="1" applyBorder="1" applyAlignment="1">
      <alignment horizontal="center"/>
    </xf>
    <xf numFmtId="0" fontId="1" fillId="2" borderId="0" xfId="1" applyBorder="1" applyAlignment="1">
      <alignment horizontal="center"/>
    </xf>
    <xf numFmtId="0" fontId="0" fillId="9" borderId="37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13" fillId="15" borderId="22" xfId="0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25" fillId="19" borderId="40" xfId="11" applyAlignment="1" applyProtection="1">
      <alignment horizontal="center"/>
      <protection locked="0"/>
    </xf>
    <xf numFmtId="0" fontId="11" fillId="10" borderId="17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19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20" xfId="0" applyFont="1" applyFill="1" applyBorder="1" applyAlignment="1">
      <alignment horizontal="center" vertical="center"/>
    </xf>
    <xf numFmtId="0" fontId="11" fillId="10" borderId="21" xfId="0" applyFont="1" applyFill="1" applyBorder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11" fillId="10" borderId="16" xfId="0" applyFont="1" applyFill="1" applyBorder="1" applyAlignment="1">
      <alignment horizontal="center" vertical="center"/>
    </xf>
    <xf numFmtId="0" fontId="1" fillId="2" borderId="0" xfId="1" applyAlignment="1">
      <alignment horizontal="left"/>
    </xf>
    <xf numFmtId="0" fontId="1" fillId="2" borderId="0" xfId="1" applyAlignment="1">
      <alignment horizontal="center"/>
    </xf>
    <xf numFmtId="0" fontId="1" fillId="2" borderId="0" xfId="1" applyFont="1" applyAlignment="1">
      <alignment horizontal="left"/>
    </xf>
    <xf numFmtId="0" fontId="6" fillId="4" borderId="0" xfId="3" applyFont="1" applyAlignment="1">
      <alignment horizontal="center"/>
    </xf>
    <xf numFmtId="0" fontId="26" fillId="0" borderId="27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</cellXfs>
  <cellStyles count="12">
    <cellStyle name="20% - Accent1" xfId="5" builtinId="30"/>
    <cellStyle name="20% - Accent4" xfId="7" builtinId="42"/>
    <cellStyle name="40% - Accent2" xfId="6" builtinId="35"/>
    <cellStyle name="40% - Accent4" xfId="8" builtinId="43"/>
    <cellStyle name="60% - Accent4" xfId="9" builtinId="44"/>
    <cellStyle name="60% - Accent5" xfId="10" builtinId="48"/>
    <cellStyle name="Bad" xfId="3" builtinId="27"/>
    <cellStyle name="Explanatory Text" xfId="4" builtinId="53"/>
    <cellStyle name="Good" xfId="1" builtinId="26"/>
    <cellStyle name="Input" xfId="11" builtinId="20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FFBC01"/>
      <color rgb="FFFFDF79"/>
      <color rgb="FFFFC111"/>
      <color rgb="FFFFCD3F"/>
      <color rgb="FFFFEEB7"/>
      <color rgb="FFFFF6DD"/>
      <color rgb="FFFFC7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sites.google.com/view/automathsbook/latest-version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sites.google.com/view/automathsbook/latest-version" TargetMode="External"/><Relationship Id="rId1" Type="http://schemas.openxmlformats.org/officeDocument/2006/relationships/hyperlink" Target="#Calculato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806049</xdr:colOff>
      <xdr:row>33</xdr:row>
      <xdr:rowOff>22701</xdr:rowOff>
    </xdr:from>
    <xdr:to>
      <xdr:col>4</xdr:col>
      <xdr:colOff>325143</xdr:colOff>
      <xdr:row>33</xdr:row>
      <xdr:rowOff>182621</xdr:rowOff>
    </xdr:to>
    <xdr:sp macro="[0]!Clearcells" textlink="">
      <xdr:nvSpPr>
        <xdr:cNvPr id="3" name="Rectangle 2"/>
        <xdr:cNvSpPr/>
      </xdr:nvSpPr>
      <xdr:spPr>
        <a:xfrm>
          <a:off x="1681158" y="891857"/>
          <a:ext cx="1263360" cy="15992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latin typeface="Agency FB" panose="020B0503020202020204" pitchFamily="34" charset="0"/>
            </a:rPr>
            <a:t>Clear Input</a:t>
          </a:r>
        </a:p>
      </xdr:txBody>
    </xdr:sp>
    <xdr:clientData/>
  </xdr:twoCellAnchor>
  <xdr:twoCellAnchor>
    <xdr:from>
      <xdr:col>3</xdr:col>
      <xdr:colOff>148166</xdr:colOff>
      <xdr:row>10</xdr:row>
      <xdr:rowOff>116417</xdr:rowOff>
    </xdr:from>
    <xdr:to>
      <xdr:col>3</xdr:col>
      <xdr:colOff>603250</xdr:colOff>
      <xdr:row>10</xdr:row>
      <xdr:rowOff>127000</xdr:rowOff>
    </xdr:to>
    <xdr:cxnSp macro="">
      <xdr:nvCxnSpPr>
        <xdr:cNvPr id="4" name="Straight Arrow Connector 3"/>
        <xdr:cNvCxnSpPr/>
      </xdr:nvCxnSpPr>
      <xdr:spPr>
        <a:xfrm>
          <a:off x="1586441" y="2592917"/>
          <a:ext cx="455084" cy="10583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116416</xdr:colOff>
      <xdr:row>11</xdr:row>
      <xdr:rowOff>158750</xdr:rowOff>
    </xdr:from>
    <xdr:to>
      <xdr:col>3</xdr:col>
      <xdr:colOff>571500</xdr:colOff>
      <xdr:row>11</xdr:row>
      <xdr:rowOff>169333</xdr:rowOff>
    </xdr:to>
    <xdr:cxnSp macro="">
      <xdr:nvCxnSpPr>
        <xdr:cNvPr id="5" name="Straight Arrow Connector 4"/>
        <xdr:cNvCxnSpPr/>
      </xdr:nvCxnSpPr>
      <xdr:spPr>
        <a:xfrm>
          <a:off x="1554691" y="2921000"/>
          <a:ext cx="455084" cy="10583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13</xdr:row>
      <xdr:rowOff>156482</xdr:rowOff>
    </xdr:from>
    <xdr:to>
      <xdr:col>3</xdr:col>
      <xdr:colOff>768804</xdr:colOff>
      <xdr:row>13</xdr:row>
      <xdr:rowOff>169332</xdr:rowOff>
    </xdr:to>
    <xdr:cxnSp macro="">
      <xdr:nvCxnSpPr>
        <xdr:cNvPr id="6" name="Straight Arrow Connector 5"/>
        <xdr:cNvCxnSpPr/>
      </xdr:nvCxnSpPr>
      <xdr:spPr>
        <a:xfrm flipV="1">
          <a:off x="1802946" y="3782786"/>
          <a:ext cx="673554" cy="12850"/>
        </a:xfrm>
        <a:prstGeom prst="straightConnector1">
          <a:avLst/>
        </a:prstGeom>
        <a:ln>
          <a:solidFill>
            <a:schemeClr val="tx1"/>
          </a:solidFill>
          <a:tailEnd type="triangle"/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278340</xdr:colOff>
      <xdr:row>12</xdr:row>
      <xdr:rowOff>250370</xdr:rowOff>
    </xdr:from>
    <xdr:to>
      <xdr:col>3</xdr:col>
      <xdr:colOff>610961</xdr:colOff>
      <xdr:row>14</xdr:row>
      <xdr:rowOff>100690</xdr:rowOff>
    </xdr:to>
    <xdr:sp macro="" textlink="">
      <xdr:nvSpPr>
        <xdr:cNvPr id="7" name="&quot;No&quot; Symbol 6"/>
        <xdr:cNvSpPr/>
      </xdr:nvSpPr>
      <xdr:spPr>
        <a:xfrm>
          <a:off x="1981954" y="2895599"/>
          <a:ext cx="332621" cy="340177"/>
        </a:xfrm>
        <a:prstGeom prst="noSmoking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115661</xdr:colOff>
      <xdr:row>31</xdr:row>
      <xdr:rowOff>20410</xdr:rowOff>
    </xdr:from>
    <xdr:to>
      <xdr:col>9</xdr:col>
      <xdr:colOff>353786</xdr:colOff>
      <xdr:row>31</xdr:row>
      <xdr:rowOff>115659</xdr:rowOff>
    </xdr:to>
    <xdr:sp macro="[0]!InstructionComplete" textlink="">
      <xdr:nvSpPr>
        <xdr:cNvPr id="8" name="Rectangle 7"/>
        <xdr:cNvSpPr/>
      </xdr:nvSpPr>
      <xdr:spPr>
        <a:xfrm>
          <a:off x="6422572" y="5694589"/>
          <a:ext cx="238125" cy="95249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403411</xdr:colOff>
      <xdr:row>47</xdr:row>
      <xdr:rowOff>40421</xdr:rowOff>
    </xdr:from>
    <xdr:to>
      <xdr:col>6</xdr:col>
      <xdr:colOff>700368</xdr:colOff>
      <xdr:row>48</xdr:row>
      <xdr:rowOff>33617</xdr:rowOff>
    </xdr:to>
    <xdr:sp macro="[0]!ColorDIffrentiateMode" textlink="">
      <xdr:nvSpPr>
        <xdr:cNvPr id="15" name="Rectangle 14"/>
        <xdr:cNvSpPr/>
      </xdr:nvSpPr>
      <xdr:spPr>
        <a:xfrm>
          <a:off x="3025587" y="9851171"/>
          <a:ext cx="1731310" cy="1836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latin typeface="Agency FB" pitchFamily="34" charset="0"/>
            </a:rPr>
            <a:t>Easy to differenciate colors mode</a:t>
          </a:r>
        </a:p>
      </xdr:txBody>
    </xdr:sp>
    <xdr:clientData/>
  </xdr:twoCellAnchor>
  <xdr:twoCellAnchor>
    <xdr:from>
      <xdr:col>1</xdr:col>
      <xdr:colOff>142876</xdr:colOff>
      <xdr:row>103</xdr:row>
      <xdr:rowOff>183697</xdr:rowOff>
    </xdr:from>
    <xdr:to>
      <xdr:col>2</xdr:col>
      <xdr:colOff>285750</xdr:colOff>
      <xdr:row>105</xdr:row>
      <xdr:rowOff>6804</xdr:rowOff>
    </xdr:to>
    <xdr:sp macro="[0]!InstructionComplete" textlink="">
      <xdr:nvSpPr>
        <xdr:cNvPr id="2" name="Rectangle 1"/>
        <xdr:cNvSpPr/>
      </xdr:nvSpPr>
      <xdr:spPr>
        <a:xfrm>
          <a:off x="219076" y="1079047"/>
          <a:ext cx="942974" cy="20410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Maths</a:t>
          </a:r>
          <a:r>
            <a:rPr lang="en-US" sz="1100" baseline="0">
              <a:latin typeface="Agency FB" panose="020B0503020202020204" pitchFamily="34" charset="0"/>
            </a:rPr>
            <a:t> calculator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74839</xdr:colOff>
      <xdr:row>46</xdr:row>
      <xdr:rowOff>129267</xdr:rowOff>
    </xdr:from>
    <xdr:to>
      <xdr:col>2</xdr:col>
      <xdr:colOff>796018</xdr:colOff>
      <xdr:row>48</xdr:row>
      <xdr:rowOff>13606</xdr:rowOff>
    </xdr:to>
    <xdr:sp macro="[0]!TitleScreen" textlink="">
      <xdr:nvSpPr>
        <xdr:cNvPr id="10" name="Rectangle 9"/>
        <xdr:cNvSpPr/>
      </xdr:nvSpPr>
      <xdr:spPr>
        <a:xfrm>
          <a:off x="149678" y="9688285"/>
          <a:ext cx="1524001" cy="265339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 to Title Screen</a:t>
          </a:r>
        </a:p>
      </xdr:txBody>
    </xdr:sp>
    <xdr:clientData/>
  </xdr:twoCellAnchor>
  <xdr:twoCellAnchor>
    <xdr:from>
      <xdr:col>2</xdr:col>
      <xdr:colOff>487455</xdr:colOff>
      <xdr:row>104</xdr:row>
      <xdr:rowOff>1202</xdr:rowOff>
    </xdr:from>
    <xdr:to>
      <xdr:col>4</xdr:col>
      <xdr:colOff>52027</xdr:colOff>
      <xdr:row>105</xdr:row>
      <xdr:rowOff>8005</xdr:rowOff>
    </xdr:to>
    <xdr:sp macro="[0]!MeasurementCalc" textlink="">
      <xdr:nvSpPr>
        <xdr:cNvPr id="11" name="Rectangle 10"/>
        <xdr:cNvSpPr/>
      </xdr:nvSpPr>
      <xdr:spPr>
        <a:xfrm>
          <a:off x="1367117" y="1076967"/>
          <a:ext cx="1307086" cy="19730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Measurement calculator</a:t>
          </a:r>
        </a:p>
      </xdr:txBody>
    </xdr:sp>
    <xdr:clientData/>
  </xdr:twoCellAnchor>
  <xdr:twoCellAnchor>
    <xdr:from>
      <xdr:col>1</xdr:col>
      <xdr:colOff>791754</xdr:colOff>
      <xdr:row>113</xdr:row>
      <xdr:rowOff>13138</xdr:rowOff>
    </xdr:from>
    <xdr:to>
      <xdr:col>2</xdr:col>
      <xdr:colOff>571500</xdr:colOff>
      <xdr:row>114</xdr:row>
      <xdr:rowOff>0</xdr:rowOff>
    </xdr:to>
    <xdr:sp macro="[0]!WeightCalc" textlink="">
      <xdr:nvSpPr>
        <xdr:cNvPr id="16" name="Rectangle 15"/>
        <xdr:cNvSpPr/>
      </xdr:nvSpPr>
      <xdr:spPr>
        <a:xfrm>
          <a:off x="870195" y="22503344"/>
          <a:ext cx="580967" cy="1773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Weight</a:t>
          </a:r>
        </a:p>
      </xdr:txBody>
    </xdr:sp>
    <xdr:clientData/>
  </xdr:twoCellAnchor>
  <xdr:twoCellAnchor>
    <xdr:from>
      <xdr:col>2</xdr:col>
      <xdr:colOff>741713</xdr:colOff>
      <xdr:row>113</xdr:row>
      <xdr:rowOff>19707</xdr:rowOff>
    </xdr:from>
    <xdr:to>
      <xdr:col>3</xdr:col>
      <xdr:colOff>425824</xdr:colOff>
      <xdr:row>114</xdr:row>
      <xdr:rowOff>6569</xdr:rowOff>
    </xdr:to>
    <xdr:sp macro="[0]!VolumeCalc" textlink="">
      <xdr:nvSpPr>
        <xdr:cNvPr id="17" name="Rectangle 16"/>
        <xdr:cNvSpPr/>
      </xdr:nvSpPr>
      <xdr:spPr>
        <a:xfrm>
          <a:off x="1621375" y="22509913"/>
          <a:ext cx="513346" cy="1773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Volume</a:t>
          </a:r>
        </a:p>
      </xdr:txBody>
    </xdr:sp>
    <xdr:clientData/>
  </xdr:twoCellAnchor>
  <xdr:twoCellAnchor>
    <xdr:from>
      <xdr:col>8</xdr:col>
      <xdr:colOff>49683</xdr:colOff>
      <xdr:row>112</xdr:row>
      <xdr:rowOff>148270</xdr:rowOff>
    </xdr:from>
    <xdr:to>
      <xdr:col>9</xdr:col>
      <xdr:colOff>575187</xdr:colOff>
      <xdr:row>114</xdr:row>
      <xdr:rowOff>32609</xdr:rowOff>
    </xdr:to>
    <xdr:sp macro="[0]!TitleScreen" textlink="">
      <xdr:nvSpPr>
        <xdr:cNvPr id="23" name="Rectangle 22"/>
        <xdr:cNvSpPr/>
      </xdr:nvSpPr>
      <xdr:spPr>
        <a:xfrm>
          <a:off x="5378080" y="22447976"/>
          <a:ext cx="1517225" cy="265339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choose calculator</a:t>
          </a:r>
        </a:p>
      </xdr:txBody>
    </xdr:sp>
    <xdr:clientData/>
  </xdr:twoCellAnchor>
  <xdr:twoCellAnchor>
    <xdr:from>
      <xdr:col>1</xdr:col>
      <xdr:colOff>54677</xdr:colOff>
      <xdr:row>113</xdr:row>
      <xdr:rowOff>5603</xdr:rowOff>
    </xdr:from>
    <xdr:to>
      <xdr:col>1</xdr:col>
      <xdr:colOff>677957</xdr:colOff>
      <xdr:row>113</xdr:row>
      <xdr:rowOff>182965</xdr:rowOff>
    </xdr:to>
    <xdr:sp macro="[0]!DistanceCalc" textlink="">
      <xdr:nvSpPr>
        <xdr:cNvPr id="20" name="Rectangle 19"/>
        <xdr:cNvSpPr/>
      </xdr:nvSpPr>
      <xdr:spPr>
        <a:xfrm>
          <a:off x="133118" y="22495809"/>
          <a:ext cx="623280" cy="1773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Distance</a:t>
          </a:r>
        </a:p>
      </xdr:txBody>
    </xdr:sp>
    <xdr:clientData/>
  </xdr:twoCellAnchor>
  <xdr:twoCellAnchor>
    <xdr:from>
      <xdr:col>1</xdr:col>
      <xdr:colOff>83342</xdr:colOff>
      <xdr:row>216</xdr:row>
      <xdr:rowOff>0</xdr:rowOff>
    </xdr:from>
    <xdr:to>
      <xdr:col>2</xdr:col>
      <xdr:colOff>804521</xdr:colOff>
      <xdr:row>216</xdr:row>
      <xdr:rowOff>144516</xdr:rowOff>
    </xdr:to>
    <xdr:sp macro="[0]!TitleScreen" textlink="">
      <xdr:nvSpPr>
        <xdr:cNvPr id="25" name="Rectangle 24"/>
        <xdr:cNvSpPr/>
      </xdr:nvSpPr>
      <xdr:spPr>
        <a:xfrm>
          <a:off x="160733" y="4691063"/>
          <a:ext cx="1518897" cy="14451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Title Screen</a:t>
          </a:r>
        </a:p>
      </xdr:txBody>
    </xdr:sp>
    <xdr:clientData/>
  </xdr:twoCellAnchor>
  <xdr:twoCellAnchor>
    <xdr:from>
      <xdr:col>3</xdr:col>
      <xdr:colOff>202401</xdr:colOff>
      <xdr:row>216</xdr:row>
      <xdr:rowOff>0</xdr:rowOff>
    </xdr:from>
    <xdr:to>
      <xdr:col>5</xdr:col>
      <xdr:colOff>580397</xdr:colOff>
      <xdr:row>216</xdr:row>
      <xdr:rowOff>142873</xdr:rowOff>
    </xdr:to>
    <xdr:sp macro="[0]!MeasurementCalc" textlink="">
      <xdr:nvSpPr>
        <xdr:cNvPr id="27" name="Rectangle 26"/>
        <xdr:cNvSpPr/>
      </xdr:nvSpPr>
      <xdr:spPr>
        <a:xfrm>
          <a:off x="1904995" y="4691063"/>
          <a:ext cx="2009152" cy="14287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Back to Measurent</a:t>
          </a:r>
          <a:r>
            <a:rPr lang="en-US" sz="1100" baseline="0">
              <a:latin typeface="Agency FB" panose="020B0503020202020204" pitchFamily="34" charset="0"/>
            </a:rPr>
            <a:t> Caclulator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3</xdr:col>
      <xdr:colOff>599034</xdr:colOff>
      <xdr:row>113</xdr:row>
      <xdr:rowOff>21612</xdr:rowOff>
    </xdr:from>
    <xdr:to>
      <xdr:col>4</xdr:col>
      <xdr:colOff>457361</xdr:colOff>
      <xdr:row>114</xdr:row>
      <xdr:rowOff>8474</xdr:rowOff>
    </xdr:to>
    <xdr:sp macro="[0]!TempratureCalc" textlink="">
      <xdr:nvSpPr>
        <xdr:cNvPr id="39" name="Rectangle 38"/>
        <xdr:cNvSpPr/>
      </xdr:nvSpPr>
      <xdr:spPr>
        <a:xfrm>
          <a:off x="2307931" y="22511818"/>
          <a:ext cx="771606" cy="1773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Temperature</a:t>
          </a:r>
        </a:p>
      </xdr:txBody>
    </xdr:sp>
    <xdr:clientData/>
  </xdr:twoCellAnchor>
  <xdr:twoCellAnchor>
    <xdr:from>
      <xdr:col>4</xdr:col>
      <xdr:colOff>564778</xdr:colOff>
      <xdr:row>113</xdr:row>
      <xdr:rowOff>32977</xdr:rowOff>
    </xdr:from>
    <xdr:to>
      <xdr:col>5</xdr:col>
      <xdr:colOff>292634</xdr:colOff>
      <xdr:row>114</xdr:row>
      <xdr:rowOff>19839</xdr:rowOff>
    </xdr:to>
    <xdr:sp macro="[0]!TimeCalc" textlink="">
      <xdr:nvSpPr>
        <xdr:cNvPr id="33" name="Rectangle 32"/>
        <xdr:cNvSpPr/>
      </xdr:nvSpPr>
      <xdr:spPr>
        <a:xfrm>
          <a:off x="3186954" y="22523183"/>
          <a:ext cx="445033" cy="1773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Time</a:t>
          </a:r>
        </a:p>
      </xdr:txBody>
    </xdr:sp>
    <xdr:clientData/>
  </xdr:twoCellAnchor>
  <xdr:twoCellAnchor>
    <xdr:from>
      <xdr:col>5</xdr:col>
      <xdr:colOff>491939</xdr:colOff>
      <xdr:row>113</xdr:row>
      <xdr:rowOff>32977</xdr:rowOff>
    </xdr:from>
    <xdr:to>
      <xdr:col>6</xdr:col>
      <xdr:colOff>409014</xdr:colOff>
      <xdr:row>114</xdr:row>
      <xdr:rowOff>19839</xdr:rowOff>
    </xdr:to>
    <xdr:sp macro="[0]!CurrencyCalc" textlink="">
      <xdr:nvSpPr>
        <xdr:cNvPr id="37" name="Rectangle 36"/>
        <xdr:cNvSpPr/>
      </xdr:nvSpPr>
      <xdr:spPr>
        <a:xfrm>
          <a:off x="3831292" y="1489742"/>
          <a:ext cx="634251" cy="17736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Currency</a:t>
          </a:r>
        </a:p>
      </xdr:txBody>
    </xdr:sp>
    <xdr:clientData/>
  </xdr:twoCellAnchor>
  <xdr:twoCellAnchor>
    <xdr:from>
      <xdr:col>6</xdr:col>
      <xdr:colOff>77390</xdr:colOff>
      <xdr:row>102</xdr:row>
      <xdr:rowOff>47625</xdr:rowOff>
    </xdr:from>
    <xdr:to>
      <xdr:col>9</xdr:col>
      <xdr:colOff>458391</xdr:colOff>
      <xdr:row>104</xdr:row>
      <xdr:rowOff>178593</xdr:rowOff>
    </xdr:to>
    <xdr:sp macro="[0]!EnableMacros" textlink="">
      <xdr:nvSpPr>
        <xdr:cNvPr id="9" name="Rounded Rectangle 8"/>
        <xdr:cNvSpPr/>
      </xdr:nvSpPr>
      <xdr:spPr>
        <a:xfrm>
          <a:off x="4125515" y="726281"/>
          <a:ext cx="2637235" cy="5298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Click on "Enable Macros" for this calculator to</a:t>
          </a:r>
          <a:r>
            <a:rPr lang="en-GB" sz="1100" baseline="0"/>
            <a:t> work. After that, click on me</a:t>
          </a:r>
          <a:endParaRPr lang="en-GB" sz="1100"/>
        </a:p>
      </xdr:txBody>
    </xdr:sp>
    <xdr:clientData/>
  </xdr:twoCellAnchor>
  <xdr:twoCellAnchor>
    <xdr:from>
      <xdr:col>3</xdr:col>
      <xdr:colOff>35719</xdr:colOff>
      <xdr:row>0</xdr:row>
      <xdr:rowOff>41672</xdr:rowOff>
    </xdr:from>
    <xdr:to>
      <xdr:col>8</xdr:col>
      <xdr:colOff>214313</xdr:colOff>
      <xdr:row>102</xdr:row>
      <xdr:rowOff>41672</xdr:rowOff>
    </xdr:to>
    <xdr:cxnSp macro="">
      <xdr:nvCxnSpPr>
        <xdr:cNvPr id="13" name="Straight Arrow Connector 12"/>
        <xdr:cNvCxnSpPr/>
      </xdr:nvCxnSpPr>
      <xdr:spPr>
        <a:xfrm flipH="1" flipV="1">
          <a:off x="1738313" y="41672"/>
          <a:ext cx="3792141" cy="678656"/>
        </a:xfrm>
        <a:prstGeom prst="straightConnector1">
          <a:avLst/>
        </a:prstGeom>
        <a:ln>
          <a:tailEnd type="arrow"/>
        </a:ln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59530</xdr:colOff>
      <xdr:row>234</xdr:row>
      <xdr:rowOff>154781</xdr:rowOff>
    </xdr:from>
    <xdr:to>
      <xdr:col>2</xdr:col>
      <xdr:colOff>780709</xdr:colOff>
      <xdr:row>235</xdr:row>
      <xdr:rowOff>108797</xdr:rowOff>
    </xdr:to>
    <xdr:sp macro="[0]!TitleScreen" textlink="">
      <xdr:nvSpPr>
        <xdr:cNvPr id="41" name="Rectangle 40"/>
        <xdr:cNvSpPr/>
      </xdr:nvSpPr>
      <xdr:spPr>
        <a:xfrm>
          <a:off x="136921" y="4101703"/>
          <a:ext cx="1518897" cy="14451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Title Screen</a:t>
          </a:r>
        </a:p>
      </xdr:txBody>
    </xdr:sp>
    <xdr:clientData/>
  </xdr:twoCellAnchor>
  <xdr:twoCellAnchor>
    <xdr:from>
      <xdr:col>3</xdr:col>
      <xdr:colOff>178589</xdr:colOff>
      <xdr:row>234</xdr:row>
      <xdr:rowOff>154781</xdr:rowOff>
    </xdr:from>
    <xdr:to>
      <xdr:col>5</xdr:col>
      <xdr:colOff>556585</xdr:colOff>
      <xdr:row>235</xdr:row>
      <xdr:rowOff>107154</xdr:rowOff>
    </xdr:to>
    <xdr:sp macro="[0]!MeasurementCalc" textlink="">
      <xdr:nvSpPr>
        <xdr:cNvPr id="42" name="Rectangle 41"/>
        <xdr:cNvSpPr/>
      </xdr:nvSpPr>
      <xdr:spPr>
        <a:xfrm>
          <a:off x="1881183" y="4101703"/>
          <a:ext cx="2009152" cy="14287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Back to Measurent</a:t>
          </a:r>
          <a:r>
            <a:rPr lang="en-US" sz="1100" baseline="0">
              <a:latin typeface="Agency FB" panose="020B0503020202020204" pitchFamily="34" charset="0"/>
            </a:rPr>
            <a:t> Caclulator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107156</xdr:colOff>
      <xdr:row>192</xdr:row>
      <xdr:rowOff>130968</xdr:rowOff>
    </xdr:from>
    <xdr:to>
      <xdr:col>3</xdr:col>
      <xdr:colOff>850</xdr:colOff>
      <xdr:row>193</xdr:row>
      <xdr:rowOff>84984</xdr:rowOff>
    </xdr:to>
    <xdr:sp macro="[0]!TitleScreen" textlink="">
      <xdr:nvSpPr>
        <xdr:cNvPr id="43" name="Rectangle 42"/>
        <xdr:cNvSpPr/>
      </xdr:nvSpPr>
      <xdr:spPr>
        <a:xfrm>
          <a:off x="184547" y="5012531"/>
          <a:ext cx="1518897" cy="14451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Title Screen</a:t>
          </a:r>
        </a:p>
      </xdr:txBody>
    </xdr:sp>
    <xdr:clientData/>
  </xdr:twoCellAnchor>
  <xdr:twoCellAnchor>
    <xdr:from>
      <xdr:col>3</xdr:col>
      <xdr:colOff>226215</xdr:colOff>
      <xdr:row>192</xdr:row>
      <xdr:rowOff>130968</xdr:rowOff>
    </xdr:from>
    <xdr:to>
      <xdr:col>5</xdr:col>
      <xdr:colOff>604211</xdr:colOff>
      <xdr:row>193</xdr:row>
      <xdr:rowOff>83341</xdr:rowOff>
    </xdr:to>
    <xdr:sp macro="[0]!MeasurementCalc" textlink="">
      <xdr:nvSpPr>
        <xdr:cNvPr id="44" name="Rectangle 43"/>
        <xdr:cNvSpPr/>
      </xdr:nvSpPr>
      <xdr:spPr>
        <a:xfrm>
          <a:off x="1928809" y="5012531"/>
          <a:ext cx="2009152" cy="14287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Back to Measurent</a:t>
          </a:r>
          <a:r>
            <a:rPr lang="en-US" sz="1100" baseline="0">
              <a:latin typeface="Agency FB" panose="020B0503020202020204" pitchFamily="34" charset="0"/>
            </a:rPr>
            <a:t> Caclulator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107156</xdr:colOff>
      <xdr:row>159</xdr:row>
      <xdr:rowOff>125015</xdr:rowOff>
    </xdr:from>
    <xdr:to>
      <xdr:col>3</xdr:col>
      <xdr:colOff>850</xdr:colOff>
      <xdr:row>160</xdr:row>
      <xdr:rowOff>79031</xdr:rowOff>
    </xdr:to>
    <xdr:sp macro="[0]!TitleScreen" textlink="">
      <xdr:nvSpPr>
        <xdr:cNvPr id="45" name="Rectangle 44"/>
        <xdr:cNvSpPr/>
      </xdr:nvSpPr>
      <xdr:spPr>
        <a:xfrm>
          <a:off x="184547" y="9197578"/>
          <a:ext cx="1518897" cy="14451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Title Screen</a:t>
          </a:r>
        </a:p>
      </xdr:txBody>
    </xdr:sp>
    <xdr:clientData/>
  </xdr:twoCellAnchor>
  <xdr:twoCellAnchor>
    <xdr:from>
      <xdr:col>3</xdr:col>
      <xdr:colOff>226215</xdr:colOff>
      <xdr:row>159</xdr:row>
      <xdr:rowOff>125015</xdr:rowOff>
    </xdr:from>
    <xdr:to>
      <xdr:col>5</xdr:col>
      <xdr:colOff>604211</xdr:colOff>
      <xdr:row>160</xdr:row>
      <xdr:rowOff>77388</xdr:rowOff>
    </xdr:to>
    <xdr:sp macro="[0]!MeasurementCalc" textlink="">
      <xdr:nvSpPr>
        <xdr:cNvPr id="46" name="Rectangle 45"/>
        <xdr:cNvSpPr/>
      </xdr:nvSpPr>
      <xdr:spPr>
        <a:xfrm>
          <a:off x="1928809" y="9197578"/>
          <a:ext cx="2009152" cy="14287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Back to Measurent</a:t>
          </a:r>
          <a:r>
            <a:rPr lang="en-US" sz="1100" baseline="0">
              <a:latin typeface="Agency FB" panose="020B0503020202020204" pitchFamily="34" charset="0"/>
            </a:rPr>
            <a:t> Caclulator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113109</xdr:colOff>
      <xdr:row>81</xdr:row>
      <xdr:rowOff>77390</xdr:rowOff>
    </xdr:from>
    <xdr:to>
      <xdr:col>3</xdr:col>
      <xdr:colOff>6803</xdr:colOff>
      <xdr:row>82</xdr:row>
      <xdr:rowOff>31406</xdr:rowOff>
    </xdr:to>
    <xdr:sp macro="[0]!TitleScreen" textlink="">
      <xdr:nvSpPr>
        <xdr:cNvPr id="47" name="Rectangle 46"/>
        <xdr:cNvSpPr/>
      </xdr:nvSpPr>
      <xdr:spPr>
        <a:xfrm>
          <a:off x="190500" y="6435328"/>
          <a:ext cx="1518897" cy="14451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Title Screen</a:t>
          </a:r>
        </a:p>
      </xdr:txBody>
    </xdr:sp>
    <xdr:clientData/>
  </xdr:twoCellAnchor>
  <xdr:twoCellAnchor>
    <xdr:from>
      <xdr:col>3</xdr:col>
      <xdr:colOff>232168</xdr:colOff>
      <xdr:row>81</xdr:row>
      <xdr:rowOff>77390</xdr:rowOff>
    </xdr:from>
    <xdr:to>
      <xdr:col>5</xdr:col>
      <xdr:colOff>610164</xdr:colOff>
      <xdr:row>82</xdr:row>
      <xdr:rowOff>29763</xdr:rowOff>
    </xdr:to>
    <xdr:sp macro="[0]!MeasurementCalc" textlink="">
      <xdr:nvSpPr>
        <xdr:cNvPr id="48" name="Rectangle 47"/>
        <xdr:cNvSpPr/>
      </xdr:nvSpPr>
      <xdr:spPr>
        <a:xfrm>
          <a:off x="1934762" y="6435328"/>
          <a:ext cx="2009152" cy="14287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Back to Measurent</a:t>
          </a:r>
          <a:r>
            <a:rPr lang="en-US" sz="1100" baseline="0">
              <a:latin typeface="Agency FB" panose="020B0503020202020204" pitchFamily="34" charset="0"/>
            </a:rPr>
            <a:t> Caclulator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125015</xdr:colOff>
      <xdr:row>269</xdr:row>
      <xdr:rowOff>125015</xdr:rowOff>
    </xdr:from>
    <xdr:to>
      <xdr:col>3</xdr:col>
      <xdr:colOff>18709</xdr:colOff>
      <xdr:row>270</xdr:row>
      <xdr:rowOff>79031</xdr:rowOff>
    </xdr:to>
    <xdr:sp macro="[0]!TitleScreen" textlink="">
      <xdr:nvSpPr>
        <xdr:cNvPr id="49" name="Rectangle 48"/>
        <xdr:cNvSpPr/>
      </xdr:nvSpPr>
      <xdr:spPr>
        <a:xfrm>
          <a:off x="202406" y="7119937"/>
          <a:ext cx="1518897" cy="14451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gency FB" panose="020B0503020202020204" pitchFamily="34" charset="0"/>
            </a:rPr>
            <a:t>Back</a:t>
          </a:r>
          <a:r>
            <a:rPr lang="en-US" sz="1100">
              <a:latin typeface="Agency FB" panose="020B0503020202020204" pitchFamily="34" charset="0"/>
            </a:rPr>
            <a:t> to Title Screen</a:t>
          </a:r>
        </a:p>
      </xdr:txBody>
    </xdr:sp>
    <xdr:clientData/>
  </xdr:twoCellAnchor>
  <xdr:twoCellAnchor>
    <xdr:from>
      <xdr:col>3</xdr:col>
      <xdr:colOff>244074</xdr:colOff>
      <xdr:row>269</xdr:row>
      <xdr:rowOff>125015</xdr:rowOff>
    </xdr:from>
    <xdr:to>
      <xdr:col>5</xdr:col>
      <xdr:colOff>622070</xdr:colOff>
      <xdr:row>270</xdr:row>
      <xdr:rowOff>77388</xdr:rowOff>
    </xdr:to>
    <xdr:sp macro="[0]!MeasurementCalc" textlink="">
      <xdr:nvSpPr>
        <xdr:cNvPr id="50" name="Rectangle 49"/>
        <xdr:cNvSpPr/>
      </xdr:nvSpPr>
      <xdr:spPr>
        <a:xfrm>
          <a:off x="1946668" y="7119937"/>
          <a:ext cx="2009152" cy="14287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Back to Measurent</a:t>
          </a:r>
          <a:r>
            <a:rPr lang="en-US" sz="1100" baseline="0">
              <a:latin typeface="Agency FB" panose="020B0503020202020204" pitchFamily="34" charset="0"/>
            </a:rPr>
            <a:t> Caclulator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314481</xdr:colOff>
      <xdr:row>108</xdr:row>
      <xdr:rowOff>23812</xdr:rowOff>
    </xdr:from>
    <xdr:to>
      <xdr:col>9</xdr:col>
      <xdr:colOff>691398</xdr:colOff>
      <xdr:row>108</xdr:row>
      <xdr:rowOff>190500</xdr:rowOff>
    </xdr:to>
    <xdr:sp macro="" textlink="">
      <xdr:nvSpPr>
        <xdr:cNvPr id="14" name="Rectangle 13">
          <a:hlinkClick xmlns:r="http://schemas.openxmlformats.org/officeDocument/2006/relationships" r:id="rId1"/>
        </xdr:cNvPr>
        <xdr:cNvSpPr/>
      </xdr:nvSpPr>
      <xdr:spPr>
        <a:xfrm>
          <a:off x="5076981" y="1875234"/>
          <a:ext cx="1918776" cy="16668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Bodoni MT" panose="02070603080606020203" pitchFamily="18" charset="0"/>
            </a:rPr>
            <a:t>Do</a:t>
          </a:r>
          <a:r>
            <a:rPr lang="en-US" sz="1000" baseline="0">
              <a:latin typeface="Bodoni MT" panose="02070603080606020203" pitchFamily="18" charset="0"/>
            </a:rPr>
            <a:t> I have the Latest Version?</a:t>
          </a:r>
          <a:endParaRPr lang="en-US" sz="1000">
            <a:latin typeface="Bodoni MT" panose="02070603080606020203" pitchFamily="18" charset="0"/>
          </a:endParaRPr>
        </a:p>
      </xdr:txBody>
    </xdr:sp>
    <xdr:clientData/>
  </xdr:twoCellAnchor>
  <xdr:twoCellAnchor>
    <xdr:from>
      <xdr:col>1</xdr:col>
      <xdr:colOff>136923</xdr:colOff>
      <xdr:row>103</xdr:row>
      <xdr:rowOff>182506</xdr:rowOff>
    </xdr:from>
    <xdr:to>
      <xdr:col>2</xdr:col>
      <xdr:colOff>279797</xdr:colOff>
      <xdr:row>105</xdr:row>
      <xdr:rowOff>5613</xdr:rowOff>
    </xdr:to>
    <xdr:sp macro="[0]!MathCalcInstruction" textlink="">
      <xdr:nvSpPr>
        <xdr:cNvPr id="36" name="delete"/>
        <xdr:cNvSpPr/>
      </xdr:nvSpPr>
      <xdr:spPr>
        <a:xfrm>
          <a:off x="213123" y="1077856"/>
          <a:ext cx="942974" cy="20410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gency FB" panose="020B0503020202020204" pitchFamily="34" charset="0"/>
            </a:rPr>
            <a:t>Maths</a:t>
          </a:r>
          <a:r>
            <a:rPr lang="en-US" sz="1100" baseline="0">
              <a:latin typeface="Agency FB" panose="020B0503020202020204" pitchFamily="34" charset="0"/>
            </a:rPr>
            <a:t> calculator</a:t>
          </a:r>
          <a:endParaRPr lang="en-US" sz="11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31</xdr:row>
      <xdr:rowOff>66676</xdr:rowOff>
    </xdr:from>
    <xdr:to>
      <xdr:col>13</xdr:col>
      <xdr:colOff>466725</xdr:colOff>
      <xdr:row>31</xdr:row>
      <xdr:rowOff>161925</xdr:rowOff>
    </xdr:to>
    <xdr:sp macro="[0]!complex1" textlink="">
      <xdr:nvSpPr>
        <xdr:cNvPr id="3" name="Rectangle 2"/>
        <xdr:cNvSpPr/>
      </xdr:nvSpPr>
      <xdr:spPr>
        <a:xfrm>
          <a:off x="7677150" y="5838826"/>
          <a:ext cx="238125" cy="95249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114300</xdr:colOff>
      <xdr:row>1</xdr:row>
      <xdr:rowOff>85725</xdr:rowOff>
    </xdr:to>
    <xdr:sp macro="[0]!Rectangle3_Click" textlink="">
      <xdr:nvSpPr>
        <xdr:cNvPr id="4" name="Rectangle 3"/>
        <xdr:cNvSpPr/>
      </xdr:nvSpPr>
      <xdr:spPr>
        <a:xfrm>
          <a:off x="0" y="0"/>
          <a:ext cx="114300" cy="857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409849</xdr:colOff>
      <xdr:row>70</xdr:row>
      <xdr:rowOff>78306</xdr:rowOff>
    </xdr:from>
    <xdr:to>
      <xdr:col>4</xdr:col>
      <xdr:colOff>118147</xdr:colOff>
      <xdr:row>73</xdr:row>
      <xdr:rowOff>78306</xdr:rowOff>
    </xdr:to>
    <xdr:sp macro="" textlink="">
      <xdr:nvSpPr>
        <xdr:cNvPr id="4" name="Left Arrow 3">
          <a:hlinkClick xmlns:r="http://schemas.openxmlformats.org/officeDocument/2006/relationships" r:id="rId1"/>
        </xdr:cNvPr>
        <xdr:cNvSpPr/>
      </xdr:nvSpPr>
      <xdr:spPr>
        <a:xfrm>
          <a:off x="409849" y="3324133"/>
          <a:ext cx="2140836" cy="571500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Back to the Calculator</a:t>
          </a:r>
        </a:p>
      </xdr:txBody>
    </xdr:sp>
    <xdr:clientData/>
  </xdr:twoCellAnchor>
  <xdr:twoCellAnchor>
    <xdr:from>
      <xdr:col>2</xdr:col>
      <xdr:colOff>300404</xdr:colOff>
      <xdr:row>12</xdr:row>
      <xdr:rowOff>175846</xdr:rowOff>
    </xdr:from>
    <xdr:to>
      <xdr:col>4</xdr:col>
      <xdr:colOff>373674</xdr:colOff>
      <xdr:row>68</xdr:row>
      <xdr:rowOff>73269</xdr:rowOff>
    </xdr:to>
    <xdr:sp macro="" textlink="">
      <xdr:nvSpPr>
        <xdr:cNvPr id="2" name="Rectangle 1"/>
        <xdr:cNvSpPr/>
      </xdr:nvSpPr>
      <xdr:spPr>
        <a:xfrm>
          <a:off x="1516673" y="2659673"/>
          <a:ext cx="1289539" cy="278423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Bahnschrift Light Condensed" panose="020B0502040204020203" pitchFamily="34" charset="0"/>
            </a:rPr>
            <a:t>Website</a:t>
          </a:r>
        </a:p>
      </xdr:txBody>
    </xdr:sp>
    <xdr:clientData/>
  </xdr:twoCellAnchor>
  <xdr:twoCellAnchor>
    <xdr:from>
      <xdr:col>5</xdr:col>
      <xdr:colOff>256448</xdr:colOff>
      <xdr:row>12</xdr:row>
      <xdr:rowOff>168519</xdr:rowOff>
    </xdr:from>
    <xdr:to>
      <xdr:col>8</xdr:col>
      <xdr:colOff>350820</xdr:colOff>
      <xdr:row>68</xdr:row>
      <xdr:rowOff>73269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3297121" y="2652346"/>
          <a:ext cx="1918776" cy="2857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Bodoni MT" panose="02070603080606020203" pitchFamily="18" charset="0"/>
            </a:rPr>
            <a:t>Do</a:t>
          </a:r>
          <a:r>
            <a:rPr lang="en-US" sz="1000" baseline="0">
              <a:latin typeface="Bodoni MT" panose="02070603080606020203" pitchFamily="18" charset="0"/>
            </a:rPr>
            <a:t> I have the Latest Version?</a:t>
          </a:r>
          <a:endParaRPr lang="en-US" sz="1000">
            <a:latin typeface="Bodoni MT" panose="02070603080606020203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1"/>
  <sheetViews>
    <sheetView showGridLines="0" showRowColHeaders="0" tabSelected="1" view="pageBreakPreview" zoomScale="150" zoomScaleNormal="100" zoomScaleSheetLayoutView="150" workbookViewId="0">
      <selection activeCell="I107" sqref="I107"/>
    </sheetView>
  </sheetViews>
  <sheetFormatPr defaultRowHeight="15"/>
  <cols>
    <col min="1" max="1" width="1.140625" customWidth="1"/>
    <col min="2" max="2" width="12" customWidth="1"/>
    <col min="3" max="3" width="12.42578125" customWidth="1"/>
    <col min="4" max="4" width="13.7109375" customWidth="1"/>
    <col min="5" max="7" width="10.7109375" customWidth="1"/>
    <col min="8" max="8" width="8.28515625" customWidth="1"/>
    <col min="9" max="9" width="14.85546875" customWidth="1"/>
    <col min="10" max="10" width="10.7109375" style="2" customWidth="1"/>
    <col min="11" max="11" width="1.28515625" customWidth="1"/>
    <col min="12" max="12" width="18.42578125" customWidth="1"/>
  </cols>
  <sheetData>
    <row r="1" spans="1:14" ht="6.75" customHeight="1" thickBot="1">
      <c r="A1" t="s">
        <v>77</v>
      </c>
      <c r="L1" s="9"/>
      <c r="M1" s="10"/>
      <c r="N1" s="10"/>
    </row>
    <row r="2" spans="1:14" ht="15.75" thickTop="1">
      <c r="B2" s="146" t="s">
        <v>163</v>
      </c>
      <c r="C2" s="147"/>
      <c r="D2" s="147"/>
      <c r="E2" s="147"/>
      <c r="F2" s="147"/>
      <c r="G2" s="147"/>
      <c r="H2" s="147"/>
      <c r="I2" s="147"/>
      <c r="J2" s="148"/>
      <c r="L2" s="10"/>
      <c r="M2" s="10"/>
      <c r="N2" s="10"/>
    </row>
    <row r="3" spans="1:14">
      <c r="B3" s="149"/>
      <c r="C3" s="150"/>
      <c r="D3" s="150"/>
      <c r="E3" s="150"/>
      <c r="F3" s="150"/>
      <c r="G3" s="150"/>
      <c r="H3" s="150"/>
      <c r="I3" s="150"/>
      <c r="J3" s="151"/>
      <c r="L3" s="59"/>
      <c r="M3" s="10"/>
      <c r="N3" s="10"/>
    </row>
    <row r="4" spans="1:14" ht="15.75" thickBot="1">
      <c r="A4" s="3"/>
      <c r="B4" s="152"/>
      <c r="C4" s="152"/>
      <c r="D4" s="152"/>
      <c r="E4" s="152"/>
      <c r="F4" s="152"/>
      <c r="G4" s="152"/>
      <c r="H4" s="152"/>
      <c r="I4" s="152"/>
      <c r="J4" s="153"/>
      <c r="K4" s="2"/>
      <c r="L4" s="60"/>
      <c r="M4" s="10"/>
      <c r="N4" s="10"/>
    </row>
    <row r="5" spans="1:14" ht="20.25" hidden="1" thickTop="1">
      <c r="A5" s="3"/>
      <c r="B5" s="26" t="s">
        <v>10</v>
      </c>
      <c r="C5" s="15"/>
      <c r="D5" s="15"/>
      <c r="E5" s="15"/>
      <c r="F5" s="15"/>
      <c r="G5" s="15"/>
      <c r="H5" s="15"/>
      <c r="I5" s="15"/>
      <c r="J5" s="130"/>
      <c r="K5" s="2"/>
      <c r="L5" s="60"/>
      <c r="M5" s="10"/>
      <c r="N5" s="10"/>
    </row>
    <row r="6" spans="1:14" s="8" customFormat="1" ht="19.5" hidden="1">
      <c r="A6" s="7"/>
      <c r="B6" s="24"/>
      <c r="C6" s="31">
        <v>5</v>
      </c>
      <c r="D6" s="30"/>
      <c r="E6" s="30"/>
      <c r="F6" s="30"/>
      <c r="G6" s="30"/>
      <c r="H6" s="30"/>
      <c r="I6" s="9"/>
      <c r="J6" s="43"/>
      <c r="K6"/>
      <c r="L6" s="9"/>
      <c r="M6" s="9"/>
      <c r="N6" s="9"/>
    </row>
    <row r="7" spans="1:14" s="8" customFormat="1" ht="18.75" hidden="1">
      <c r="A7" s="7"/>
      <c r="C7" s="31">
        <v>5</v>
      </c>
      <c r="D7" s="30"/>
      <c r="E7" s="30"/>
      <c r="F7" s="30"/>
      <c r="G7" s="30"/>
      <c r="H7" s="30"/>
      <c r="I7" s="9"/>
      <c r="J7" s="43"/>
      <c r="K7"/>
      <c r="L7" s="9"/>
      <c r="M7" s="9"/>
      <c r="N7" s="9"/>
    </row>
    <row r="8" spans="1:14" ht="18.75" hidden="1">
      <c r="A8" s="3"/>
      <c r="B8" s="30"/>
      <c r="D8" s="30"/>
      <c r="E8" s="30"/>
      <c r="F8" s="30"/>
      <c r="G8" s="30"/>
      <c r="H8" s="30"/>
      <c r="I8" s="9"/>
      <c r="J8" s="43"/>
      <c r="L8" s="9"/>
      <c r="M8" s="9"/>
      <c r="N8" s="9"/>
    </row>
    <row r="9" spans="1:14" ht="19.5" hidden="1">
      <c r="A9" s="3"/>
      <c r="B9" s="24" t="s">
        <v>153</v>
      </c>
      <c r="C9" s="8"/>
      <c r="D9" s="71"/>
      <c r="E9" s="71"/>
      <c r="F9" s="71"/>
      <c r="G9" s="30"/>
      <c r="H9" s="30"/>
      <c r="I9" s="9"/>
      <c r="J9" s="43"/>
      <c r="L9" s="9"/>
      <c r="M9" s="9"/>
      <c r="N9" s="9"/>
    </row>
    <row r="10" spans="1:14" ht="19.5" hidden="1">
      <c r="A10" s="3"/>
      <c r="B10" s="32" t="s">
        <v>11</v>
      </c>
      <c r="C10" s="71"/>
      <c r="D10" s="71"/>
      <c r="E10" s="71"/>
      <c r="F10" s="71"/>
      <c r="G10" s="30"/>
      <c r="H10" s="30"/>
      <c r="I10" s="9"/>
      <c r="J10" s="43"/>
      <c r="L10" s="9"/>
      <c r="M10" s="9"/>
      <c r="N10" s="9"/>
    </row>
    <row r="11" spans="1:14" ht="18.75" hidden="1">
      <c r="A11" s="3"/>
      <c r="C11" s="33"/>
      <c r="D11" s="30"/>
      <c r="E11" s="33"/>
      <c r="F11" s="30"/>
      <c r="G11" s="30"/>
      <c r="H11" s="30"/>
      <c r="I11" s="9"/>
      <c r="J11" s="43"/>
      <c r="L11" s="9"/>
      <c r="M11" s="9"/>
      <c r="N11" s="9"/>
    </row>
    <row r="12" spans="1:14" ht="18.75" hidden="1">
      <c r="A12" s="3"/>
      <c r="C12" s="34"/>
      <c r="D12" s="30"/>
      <c r="E12" s="35"/>
      <c r="F12" s="30"/>
      <c r="G12" s="30"/>
      <c r="H12" s="30"/>
      <c r="I12" s="9"/>
      <c r="J12" s="43"/>
      <c r="L12" s="9"/>
      <c r="M12" s="9"/>
      <c r="N12" s="9"/>
    </row>
    <row r="13" spans="1:14" s="8" customFormat="1" ht="19.5" hidden="1" thickBot="1">
      <c r="A13" s="7"/>
      <c r="B13" s="30"/>
      <c r="C13" s="30"/>
      <c r="D13" s="30"/>
      <c r="E13" s="30"/>
      <c r="F13" s="30"/>
      <c r="G13" s="30"/>
      <c r="H13" s="30"/>
      <c r="I13" s="9"/>
      <c r="J13" s="43"/>
      <c r="K13"/>
      <c r="L13" s="9"/>
      <c r="M13" s="9"/>
      <c r="N13" s="9"/>
    </row>
    <row r="14" spans="1:14" ht="18.75" hidden="1">
      <c r="A14" s="41"/>
      <c r="B14" s="30"/>
      <c r="C14" s="33"/>
      <c r="D14" s="30"/>
      <c r="E14" s="36"/>
      <c r="F14" s="30"/>
      <c r="G14" s="30"/>
      <c r="H14" s="30"/>
      <c r="I14" s="9"/>
      <c r="J14" s="43"/>
      <c r="L14" s="9"/>
      <c r="M14" s="9"/>
      <c r="N14" s="9"/>
    </row>
    <row r="15" spans="1:14" ht="15" hidden="1" customHeight="1">
      <c r="A15" s="42"/>
      <c r="B15" s="30"/>
      <c r="F15" s="30"/>
      <c r="G15" s="30"/>
      <c r="H15" s="30"/>
      <c r="I15" s="9"/>
      <c r="J15" s="43"/>
      <c r="L15" s="9"/>
      <c r="M15" s="9"/>
      <c r="N15" s="9"/>
    </row>
    <row r="16" spans="1:14" ht="19.5" hidden="1">
      <c r="A16" s="42"/>
      <c r="B16" s="111" t="s">
        <v>154</v>
      </c>
      <c r="C16" s="46"/>
      <c r="D16" s="27"/>
      <c r="E16" s="27"/>
      <c r="F16" s="25"/>
      <c r="G16" s="25"/>
      <c r="H16" s="28"/>
      <c r="I16" s="13"/>
      <c r="J16" s="44"/>
      <c r="L16" s="9"/>
      <c r="M16" s="9"/>
      <c r="N16" s="9"/>
    </row>
    <row r="17" spans="1:14" ht="14.45" hidden="1" customHeight="1">
      <c r="A17" s="42"/>
      <c r="B17" s="1"/>
      <c r="C17" s="61">
        <v>5</v>
      </c>
      <c r="J17" s="3"/>
      <c r="L17" s="9"/>
      <c r="M17" s="9"/>
      <c r="N17" s="9"/>
    </row>
    <row r="18" spans="1:14" hidden="1">
      <c r="A18" s="42"/>
      <c r="B18" s="1"/>
      <c r="C18" s="61"/>
      <c r="J18" s="3"/>
      <c r="L18" s="9"/>
      <c r="M18" s="9"/>
      <c r="N18" s="9"/>
    </row>
    <row r="19" spans="1:14" hidden="1">
      <c r="A19" s="42"/>
      <c r="B19" s="1"/>
      <c r="C19" s="61"/>
      <c r="J19" s="3"/>
      <c r="L19" s="9"/>
      <c r="M19" s="9"/>
      <c r="N19" s="9"/>
    </row>
    <row r="20" spans="1:14" hidden="1">
      <c r="A20" s="42"/>
      <c r="J20" s="3"/>
      <c r="K20" s="13"/>
      <c r="L20" s="112"/>
      <c r="M20" s="112"/>
      <c r="N20" s="112"/>
    </row>
    <row r="21" spans="1:14" ht="18.75" hidden="1">
      <c r="A21" s="42"/>
      <c r="B21" s="156" t="s">
        <v>157</v>
      </c>
      <c r="C21" s="157"/>
      <c r="D21" s="37"/>
      <c r="J21" s="3"/>
      <c r="K21" s="14"/>
      <c r="L21" s="113"/>
      <c r="M21" s="113"/>
      <c r="N21" s="113"/>
    </row>
    <row r="22" spans="1:14" ht="16.5" hidden="1">
      <c r="A22" s="42"/>
      <c r="B22" s="62"/>
      <c r="C22" s="63"/>
      <c r="D22" s="37"/>
      <c r="J22" s="3"/>
      <c r="K22" s="14"/>
      <c r="L22" s="113"/>
      <c r="M22" s="113"/>
      <c r="N22" s="113"/>
    </row>
    <row r="23" spans="1:14" ht="18.75" hidden="1">
      <c r="A23" s="42"/>
      <c r="B23" s="62"/>
      <c r="C23" s="48" t="s">
        <v>90</v>
      </c>
      <c r="D23" s="38">
        <f>IFERROR(D21+D22,"Enter Number")</f>
        <v>0</v>
      </c>
      <c r="J23" s="3"/>
      <c r="K23" s="14"/>
      <c r="L23" s="113"/>
      <c r="M23" s="113"/>
      <c r="N23" s="113"/>
    </row>
    <row r="24" spans="1:14" hidden="1">
      <c r="A24" s="42"/>
      <c r="B24" s="1"/>
      <c r="C24" s="47"/>
      <c r="J24" s="3"/>
      <c r="K24" s="16"/>
      <c r="L24" s="114"/>
      <c r="M24" s="10"/>
      <c r="N24" s="10"/>
    </row>
    <row r="25" spans="1:14" hidden="1">
      <c r="A25" s="42"/>
      <c r="B25" s="128" t="s">
        <v>155</v>
      </c>
      <c r="C25" s="69"/>
      <c r="D25" s="70"/>
      <c r="E25" s="13"/>
      <c r="F25" s="13"/>
      <c r="G25" s="13"/>
      <c r="J25" s="3"/>
      <c r="K25" s="10"/>
      <c r="L25" s="114"/>
      <c r="M25" s="10"/>
      <c r="N25" s="10"/>
    </row>
    <row r="26" spans="1:14" ht="18.75" hidden="1">
      <c r="A26" s="42"/>
      <c r="E26" s="29"/>
      <c r="F26" s="25"/>
      <c r="G26" s="25"/>
      <c r="H26" s="28"/>
      <c r="I26" s="14"/>
      <c r="J26" s="45"/>
      <c r="K26" s="9"/>
      <c r="L26" s="114"/>
      <c r="M26" s="10"/>
      <c r="N26" s="10"/>
    </row>
    <row r="27" spans="1:14" ht="18.75" hidden="1">
      <c r="A27" s="42"/>
      <c r="E27" s="29"/>
      <c r="F27" s="29"/>
      <c r="G27" s="29"/>
      <c r="H27" s="29"/>
      <c r="I27" s="14"/>
      <c r="J27" s="45"/>
      <c r="K27" s="39"/>
      <c r="L27" s="115"/>
      <c r="M27" s="115"/>
      <c r="N27" s="10"/>
    </row>
    <row r="28" spans="1:14" ht="18.75" hidden="1">
      <c r="A28" s="42"/>
      <c r="E28" s="29"/>
      <c r="F28" s="29"/>
      <c r="G28" s="29"/>
      <c r="H28" s="29"/>
      <c r="I28" s="14"/>
      <c r="J28" s="45"/>
      <c r="L28" s="116"/>
      <c r="M28" s="10"/>
      <c r="N28" s="10"/>
    </row>
    <row r="29" spans="1:14" ht="19.5" hidden="1">
      <c r="A29" s="42"/>
      <c r="B29" s="111"/>
      <c r="C29" s="2"/>
      <c r="J29" s="3"/>
      <c r="L29" s="116"/>
      <c r="M29" s="10"/>
      <c r="N29" s="10"/>
    </row>
    <row r="30" spans="1:14" ht="15.75" hidden="1" customHeight="1">
      <c r="A30" s="42"/>
      <c r="B30" s="1"/>
      <c r="C30" s="2"/>
      <c r="J30" s="3"/>
      <c r="L30" s="116"/>
      <c r="M30" s="10"/>
      <c r="N30" s="10"/>
    </row>
    <row r="31" spans="1:14" ht="15" hidden="1" customHeight="1" thickBot="1">
      <c r="A31" s="40"/>
      <c r="B31" s="4"/>
      <c r="C31" s="49"/>
      <c r="D31" s="95"/>
      <c r="E31" s="96"/>
      <c r="F31" s="96"/>
      <c r="G31" s="96"/>
      <c r="H31" s="96"/>
      <c r="I31" s="5"/>
      <c r="J31" s="6"/>
      <c r="L31" s="116"/>
      <c r="M31" s="10"/>
      <c r="N31" s="10"/>
    </row>
    <row r="32" spans="1:14" ht="16.5" hidden="1" thickTop="1" thickBot="1">
      <c r="A32" s="158" t="s">
        <v>156</v>
      </c>
      <c r="B32" s="158"/>
      <c r="C32" s="158"/>
      <c r="D32" s="158"/>
      <c r="E32" s="158"/>
      <c r="F32" s="158"/>
      <c r="G32" s="158"/>
      <c r="H32" s="158"/>
      <c r="I32" s="158"/>
      <c r="J32" s="97"/>
      <c r="L32" s="116"/>
      <c r="M32" s="10"/>
      <c r="N32" s="10"/>
    </row>
    <row r="33" spans="1:14" ht="15" hidden="1" customHeight="1" thickTop="1">
      <c r="A33" s="2"/>
      <c r="B33" s="50"/>
      <c r="C33" s="51"/>
      <c r="D33" s="52"/>
      <c r="E33" s="53"/>
      <c r="F33" s="53"/>
      <c r="G33" s="53"/>
      <c r="H33" s="53"/>
      <c r="I33" s="53"/>
      <c r="J33" s="54"/>
      <c r="L33" s="60"/>
      <c r="M33" s="10"/>
      <c r="N33" s="9"/>
    </row>
    <row r="34" spans="1:14" hidden="1">
      <c r="A34" s="2"/>
      <c r="B34" s="124">
        <v>5</v>
      </c>
      <c r="C34" s="10"/>
      <c r="D34" s="2"/>
      <c r="E34" s="10"/>
      <c r="F34" s="2"/>
      <c r="G34" s="2"/>
      <c r="H34" s="10"/>
      <c r="I34" s="154" t="s">
        <v>62</v>
      </c>
      <c r="J34" s="155"/>
      <c r="L34" s="116"/>
      <c r="M34" s="10"/>
      <c r="N34" s="9"/>
    </row>
    <row r="35" spans="1:14" hidden="1">
      <c r="A35" s="2"/>
      <c r="B35" s="125">
        <v>5</v>
      </c>
      <c r="C35" s="10"/>
      <c r="D35" s="10"/>
      <c r="E35" s="10"/>
      <c r="F35" s="2"/>
      <c r="G35" s="2"/>
      <c r="H35" s="2"/>
      <c r="I35" s="64" t="s">
        <v>63</v>
      </c>
      <c r="J35" s="132">
        <f>IFERROR(B34+B35+B36+B37+B38,"error303")</f>
        <v>20</v>
      </c>
      <c r="L35" s="116"/>
      <c r="M35" s="10"/>
      <c r="N35" s="9"/>
    </row>
    <row r="36" spans="1:14" hidden="1">
      <c r="A36" s="2"/>
      <c r="B36" s="129">
        <v>5</v>
      </c>
      <c r="C36" s="10"/>
      <c r="D36" s="10"/>
      <c r="E36" s="10"/>
      <c r="F36" s="2"/>
      <c r="G36" s="2"/>
      <c r="H36" s="2"/>
      <c r="I36" s="64" t="s">
        <v>64</v>
      </c>
      <c r="J36" s="133">
        <f>IFERROR(B34-B35,"error303")</f>
        <v>0</v>
      </c>
      <c r="L36" s="116"/>
      <c r="M36" s="10"/>
      <c r="N36" s="9"/>
    </row>
    <row r="37" spans="1:14" hidden="1">
      <c r="A37" s="2"/>
      <c r="B37" s="126">
        <v>5</v>
      </c>
      <c r="C37" s="10"/>
      <c r="D37" s="56"/>
      <c r="E37" s="56"/>
      <c r="F37" s="56" t="s">
        <v>12</v>
      </c>
      <c r="G37" s="56"/>
      <c r="H37" s="56"/>
      <c r="I37" s="64" t="s">
        <v>65</v>
      </c>
      <c r="J37" s="134">
        <f>B34*B35*B36*B37*B38</f>
        <v>0</v>
      </c>
      <c r="L37" s="116"/>
      <c r="M37" s="10"/>
      <c r="N37" s="9"/>
    </row>
    <row r="38" spans="1:14" hidden="1">
      <c r="A38" s="2"/>
      <c r="B38" s="127"/>
      <c r="C38" s="10"/>
      <c r="D38" s="2"/>
      <c r="E38" s="2"/>
      <c r="F38" s="2"/>
      <c r="G38" s="2"/>
      <c r="H38" s="10"/>
      <c r="I38" s="64" t="s">
        <v>66</v>
      </c>
      <c r="J38" s="135">
        <f>IFERROR(B34/B35,0)</f>
        <v>1</v>
      </c>
      <c r="L38" s="116"/>
      <c r="M38" s="10"/>
      <c r="N38" s="9"/>
    </row>
    <row r="39" spans="1:14" hidden="1">
      <c r="B39" s="55"/>
      <c r="C39" s="10"/>
      <c r="E39" s="2"/>
      <c r="F39" s="2"/>
      <c r="G39" s="2"/>
      <c r="H39" s="10"/>
      <c r="I39" s="65" t="s">
        <v>67</v>
      </c>
      <c r="J39" s="136">
        <f>IFERROR(POWER(B34,B35),0)</f>
        <v>3125</v>
      </c>
      <c r="K39" s="1"/>
      <c r="L39" s="60"/>
      <c r="M39" s="10"/>
      <c r="N39" s="9"/>
    </row>
    <row r="40" spans="1:14" hidden="1">
      <c r="B40" s="57"/>
      <c r="C40" s="10"/>
      <c r="D40" s="2"/>
      <c r="E40" s="2"/>
      <c r="F40" s="118"/>
      <c r="G40" s="58" t="s">
        <v>7</v>
      </c>
      <c r="H40" s="10"/>
      <c r="I40" s="65" t="s">
        <v>68</v>
      </c>
      <c r="J40" s="137">
        <f>SQRT(B34)</f>
        <v>2.2360679774997898</v>
      </c>
      <c r="L40" s="116"/>
      <c r="M40" s="10"/>
      <c r="N40" s="9"/>
    </row>
    <row r="41" spans="1:14" hidden="1">
      <c r="B41" s="57"/>
      <c r="C41" s="10"/>
      <c r="D41" s="2"/>
      <c r="E41" s="2"/>
      <c r="F41" s="17"/>
      <c r="G41" s="58" t="s">
        <v>9</v>
      </c>
      <c r="H41" s="10"/>
      <c r="I41" s="65" t="s">
        <v>1</v>
      </c>
      <c r="J41" s="137">
        <f>B34*4</f>
        <v>20</v>
      </c>
      <c r="L41" s="116"/>
      <c r="M41" s="10"/>
      <c r="N41" s="9"/>
    </row>
    <row r="42" spans="1:14" hidden="1">
      <c r="B42" s="67"/>
      <c r="C42" s="10"/>
      <c r="D42" s="10"/>
      <c r="E42" s="10"/>
      <c r="F42" s="18"/>
      <c r="G42" s="58" t="s">
        <v>8</v>
      </c>
      <c r="H42" s="10"/>
      <c r="I42" s="65" t="s">
        <v>69</v>
      </c>
      <c r="J42" s="135">
        <f>B34*B34</f>
        <v>25</v>
      </c>
      <c r="L42" s="116"/>
      <c r="M42" s="10"/>
      <c r="N42" s="9"/>
    </row>
    <row r="43" spans="1:14" hidden="1">
      <c r="B43" s="67"/>
      <c r="C43" s="10"/>
      <c r="D43" s="10"/>
      <c r="E43" s="10"/>
      <c r="F43" s="119"/>
      <c r="G43" s="121" t="s">
        <v>84</v>
      </c>
      <c r="H43" s="10"/>
      <c r="I43" s="65" t="s">
        <v>70</v>
      </c>
      <c r="J43" s="138">
        <f>B34*B34*B34</f>
        <v>125</v>
      </c>
      <c r="L43" s="116"/>
      <c r="M43" s="10"/>
      <c r="N43" s="9"/>
    </row>
    <row r="44" spans="1:14" hidden="1">
      <c r="B44" s="68"/>
      <c r="C44" s="10"/>
      <c r="D44" s="10"/>
      <c r="E44" s="10"/>
      <c r="F44" s="120"/>
      <c r="G44" s="121" t="s">
        <v>85</v>
      </c>
      <c r="H44" s="10"/>
      <c r="I44" s="65" t="s">
        <v>71</v>
      </c>
      <c r="J44" s="135">
        <f>B34*B35/2</f>
        <v>12.5</v>
      </c>
      <c r="L44" s="116"/>
      <c r="M44" s="10"/>
      <c r="N44" s="9"/>
    </row>
    <row r="45" spans="1:14" hidden="1">
      <c r="B45" s="68"/>
      <c r="C45" s="10"/>
      <c r="D45" s="10"/>
      <c r="E45" s="10"/>
      <c r="F45" s="2"/>
      <c r="G45" s="2"/>
      <c r="H45" s="10"/>
      <c r="I45" s="65" t="s">
        <v>72</v>
      </c>
      <c r="J45" s="135">
        <f>2*(B34+B35)</f>
        <v>20</v>
      </c>
      <c r="L45" s="116"/>
      <c r="M45" s="10"/>
      <c r="N45" s="9"/>
    </row>
    <row r="46" spans="1:14" hidden="1">
      <c r="B46" s="68"/>
      <c r="C46" s="11"/>
      <c r="D46" s="10"/>
      <c r="E46" s="10"/>
      <c r="F46" s="2"/>
      <c r="G46" s="2"/>
      <c r="H46" s="10"/>
      <c r="I46" s="65" t="s">
        <v>0</v>
      </c>
      <c r="J46" s="138">
        <f>B34*B35*B36</f>
        <v>125</v>
      </c>
      <c r="L46" s="116"/>
      <c r="M46" s="10"/>
      <c r="N46" s="9"/>
    </row>
    <row r="47" spans="1:14" hidden="1">
      <c r="B47" s="68"/>
      <c r="C47" s="10"/>
      <c r="D47" s="12"/>
      <c r="E47" s="10"/>
      <c r="F47" s="10"/>
      <c r="G47" s="10"/>
      <c r="H47" s="10"/>
      <c r="I47" s="66" t="s">
        <v>73</v>
      </c>
      <c r="J47" s="139">
        <f>B34*B35*B36/2</f>
        <v>62.5</v>
      </c>
      <c r="L47" s="116"/>
      <c r="M47" s="10"/>
      <c r="N47" s="9"/>
    </row>
    <row r="48" spans="1:14" hidden="1">
      <c r="B48" s="57"/>
      <c r="C48" s="2"/>
      <c r="D48" s="2"/>
      <c r="E48" s="2"/>
      <c r="F48" s="2"/>
      <c r="G48" s="2"/>
      <c r="H48" s="2"/>
      <c r="I48" s="65" t="s">
        <v>81</v>
      </c>
      <c r="J48" s="140">
        <f>3.14159265358979*B34*B35</f>
        <v>78.539816339744746</v>
      </c>
      <c r="L48" s="116"/>
      <c r="M48" s="10"/>
      <c r="N48" s="9"/>
    </row>
    <row r="49" spans="1:14" hidden="1">
      <c r="A49" s="123"/>
      <c r="B49" s="2"/>
      <c r="C49" s="2"/>
      <c r="D49" s="2"/>
      <c r="E49" s="2"/>
      <c r="F49" s="2"/>
      <c r="G49" s="2"/>
      <c r="H49" s="122"/>
      <c r="I49" s="65" t="s">
        <v>83</v>
      </c>
      <c r="J49" s="141">
        <f>B34+B35+B36+B37+B38</f>
        <v>20</v>
      </c>
      <c r="K49" s="2"/>
      <c r="L49" s="116"/>
      <c r="M49" s="10"/>
      <c r="N49" s="9"/>
    </row>
    <row r="50" spans="1:14" ht="17.25" hidden="1" thickBot="1">
      <c r="A50" s="123"/>
      <c r="B50" s="2"/>
      <c r="C50" s="2"/>
      <c r="D50" s="2"/>
      <c r="E50" s="2"/>
      <c r="F50" s="2"/>
      <c r="G50" s="2"/>
      <c r="H50" s="2"/>
      <c r="I50" s="131" t="s">
        <v>89</v>
      </c>
      <c r="J50" s="142">
        <f>B34^2*SQRT(3)/2</f>
        <v>21.650635094610966</v>
      </c>
      <c r="K50" s="2"/>
      <c r="L50" s="60"/>
      <c r="M50" s="10"/>
      <c r="N50" s="9"/>
    </row>
    <row r="51" spans="1:14" ht="16.5" hidden="1" thickTop="1" thickBot="1">
      <c r="A51" s="123"/>
      <c r="B51" s="2"/>
      <c r="C51" s="2"/>
      <c r="D51" s="2"/>
      <c r="E51" s="2"/>
      <c r="F51" s="2"/>
      <c r="G51" s="2"/>
      <c r="H51" s="2"/>
      <c r="I51" s="2"/>
      <c r="J51" s="143"/>
      <c r="L51" s="116"/>
      <c r="M51" s="10"/>
      <c r="N51" s="9"/>
    </row>
    <row r="52" spans="1:14" ht="15.75" hidden="1" thickTop="1">
      <c r="A52" s="3"/>
      <c r="B52" s="98" t="s">
        <v>82</v>
      </c>
      <c r="C52" s="73"/>
      <c r="D52" s="73"/>
      <c r="E52" s="73"/>
      <c r="F52" s="73"/>
      <c r="G52" s="73"/>
      <c r="H52" s="73"/>
      <c r="I52" s="73"/>
      <c r="J52" s="74"/>
      <c r="L52" s="116"/>
      <c r="M52" s="10"/>
      <c r="N52" s="9"/>
    </row>
    <row r="53" spans="1:14" hidden="1">
      <c r="A53" s="3"/>
      <c r="B53" s="1"/>
      <c r="C53" s="2"/>
      <c r="D53" s="2"/>
      <c r="E53" s="2"/>
      <c r="F53" s="2"/>
      <c r="G53" s="2"/>
      <c r="H53" s="2"/>
      <c r="I53" s="2"/>
      <c r="J53" s="3"/>
      <c r="L53" s="116"/>
      <c r="M53" s="10"/>
      <c r="N53" s="9"/>
    </row>
    <row r="54" spans="1:14" hidden="1">
      <c r="A54" s="3"/>
      <c r="C54" s="2"/>
      <c r="D54" s="2"/>
      <c r="E54" s="2"/>
      <c r="F54" s="2"/>
      <c r="G54" s="2"/>
      <c r="H54" s="2"/>
      <c r="I54" s="2"/>
      <c r="J54" s="3"/>
      <c r="L54" s="116"/>
      <c r="M54" s="10"/>
      <c r="N54" s="9"/>
    </row>
    <row r="55" spans="1:14" ht="11.25" hidden="1" customHeight="1">
      <c r="A55" s="3"/>
      <c r="B55" s="103" t="s">
        <v>54</v>
      </c>
      <c r="C55" s="2"/>
      <c r="D55" s="2"/>
      <c r="E55" s="2"/>
      <c r="F55" s="2"/>
      <c r="G55" s="2"/>
      <c r="H55" s="2"/>
      <c r="I55" s="2"/>
      <c r="J55" s="3"/>
      <c r="L55" s="116"/>
      <c r="M55" s="10"/>
      <c r="N55" s="9"/>
    </row>
    <row r="56" spans="1:14" hidden="1">
      <c r="A56" s="3"/>
      <c r="B56" s="104"/>
      <c r="C56" s="105" t="s">
        <v>35</v>
      </c>
      <c r="D56" s="86">
        <f>B56*1000</f>
        <v>0</v>
      </c>
      <c r="E56" s="2"/>
      <c r="F56" s="2"/>
      <c r="G56" s="2"/>
      <c r="H56" s="2"/>
      <c r="I56" s="2"/>
      <c r="J56" s="3"/>
      <c r="L56" s="10"/>
      <c r="M56" s="10"/>
      <c r="N56" s="9"/>
    </row>
    <row r="57" spans="1:14" hidden="1">
      <c r="A57" s="3"/>
      <c r="B57" s="1"/>
      <c r="C57" s="2"/>
      <c r="D57" s="2"/>
      <c r="E57" s="2"/>
      <c r="F57" s="2"/>
      <c r="G57" s="2"/>
      <c r="H57" s="2"/>
      <c r="I57" s="2"/>
      <c r="J57" s="3"/>
      <c r="K57" s="2"/>
      <c r="L57" s="10"/>
      <c r="M57" s="10"/>
      <c r="N57" s="9"/>
    </row>
    <row r="58" spans="1:14" hidden="1">
      <c r="A58" s="3"/>
      <c r="B58" s="103" t="s">
        <v>53</v>
      </c>
      <c r="C58" s="2"/>
      <c r="D58" s="2"/>
      <c r="E58" s="2"/>
      <c r="F58" s="2"/>
      <c r="G58" s="2"/>
      <c r="H58" s="2"/>
      <c r="I58" s="2"/>
      <c r="J58" s="3"/>
      <c r="K58" s="2"/>
      <c r="L58" s="10"/>
      <c r="M58" s="10"/>
      <c r="N58" s="9"/>
    </row>
    <row r="59" spans="1:14" hidden="1">
      <c r="A59" s="3"/>
      <c r="B59" s="104"/>
      <c r="C59" s="105" t="s">
        <v>35</v>
      </c>
      <c r="D59" s="86">
        <f>B59/1000</f>
        <v>0</v>
      </c>
      <c r="E59" s="2"/>
      <c r="F59" s="2"/>
      <c r="G59" s="2"/>
      <c r="H59" s="2"/>
      <c r="I59" s="2"/>
      <c r="J59" s="3"/>
      <c r="K59" s="2"/>
      <c r="L59" s="10"/>
      <c r="M59" s="10"/>
      <c r="N59" s="9"/>
    </row>
    <row r="60" spans="1:14" hidden="1">
      <c r="A60" s="3"/>
      <c r="B60" s="1"/>
      <c r="C60" s="2"/>
      <c r="D60" s="2"/>
      <c r="E60" s="2"/>
      <c r="F60" s="2"/>
      <c r="G60" s="2"/>
      <c r="H60" s="2"/>
      <c r="I60" s="2"/>
      <c r="J60" s="3"/>
      <c r="K60" s="2"/>
      <c r="L60" s="10"/>
      <c r="M60" s="10"/>
      <c r="N60" s="9"/>
    </row>
    <row r="61" spans="1:14" hidden="1">
      <c r="A61" s="3"/>
      <c r="B61" s="103" t="s">
        <v>52</v>
      </c>
      <c r="C61" s="2"/>
      <c r="D61" s="2"/>
      <c r="E61" s="2"/>
      <c r="F61" s="2"/>
      <c r="G61" s="2"/>
      <c r="H61" s="2"/>
      <c r="I61" s="2"/>
      <c r="J61" s="3"/>
      <c r="K61" s="2"/>
      <c r="L61" s="10"/>
      <c r="M61" s="10"/>
      <c r="N61" s="9"/>
    </row>
    <row r="62" spans="1:14" hidden="1">
      <c r="A62" s="3"/>
      <c r="B62" s="94"/>
      <c r="C62" s="105" t="s">
        <v>35</v>
      </c>
      <c r="D62" s="86">
        <f>B62*0.033814</f>
        <v>0</v>
      </c>
      <c r="E62" s="2"/>
      <c r="F62" s="2"/>
      <c r="G62" s="2"/>
      <c r="H62" s="2"/>
      <c r="I62" s="2"/>
      <c r="J62" s="3"/>
      <c r="K62" s="2"/>
      <c r="L62" s="10"/>
      <c r="M62" s="10"/>
      <c r="N62" s="9"/>
    </row>
    <row r="63" spans="1:14" hidden="1">
      <c r="A63" s="3"/>
      <c r="B63" s="1"/>
      <c r="C63" s="2"/>
      <c r="D63" s="2"/>
      <c r="E63" s="2"/>
      <c r="F63" s="2"/>
      <c r="G63" s="2"/>
      <c r="H63" s="2"/>
      <c r="I63" s="2"/>
      <c r="J63" s="3"/>
      <c r="K63" s="2"/>
      <c r="L63" s="10"/>
      <c r="M63" s="10"/>
      <c r="N63" s="9"/>
    </row>
    <row r="64" spans="1:14" hidden="1">
      <c r="A64" s="3"/>
      <c r="B64" s="103" t="s">
        <v>56</v>
      </c>
      <c r="C64" s="2"/>
      <c r="D64" s="2"/>
      <c r="E64" s="2"/>
      <c r="F64" s="2"/>
      <c r="G64" s="2"/>
      <c r="H64" s="2"/>
      <c r="I64" s="2"/>
      <c r="J64" s="3"/>
      <c r="K64" s="2"/>
      <c r="L64" s="10"/>
      <c r="M64" s="10"/>
      <c r="N64" s="9"/>
    </row>
    <row r="65" spans="1:14" hidden="1">
      <c r="A65" s="3"/>
      <c r="B65" s="85"/>
      <c r="C65" s="105" t="s">
        <v>35</v>
      </c>
      <c r="D65" s="86">
        <f>B65/0.033814</f>
        <v>0</v>
      </c>
      <c r="E65" s="2"/>
      <c r="F65" s="2"/>
      <c r="G65" s="2"/>
      <c r="H65" s="2"/>
      <c r="I65" s="2"/>
      <c r="J65" s="3"/>
      <c r="K65" s="2"/>
      <c r="L65" s="10"/>
      <c r="M65" s="10"/>
      <c r="N65" s="9"/>
    </row>
    <row r="66" spans="1:14" hidden="1">
      <c r="A66" s="3"/>
      <c r="C66" s="2"/>
      <c r="E66" s="2"/>
      <c r="F66" s="2"/>
      <c r="G66" s="2"/>
      <c r="H66" s="2"/>
      <c r="I66" s="2"/>
      <c r="J66" s="3"/>
      <c r="K66" s="2"/>
      <c r="L66" s="10"/>
      <c r="M66" s="10"/>
      <c r="N66" s="9"/>
    </row>
    <row r="67" spans="1:14" hidden="1">
      <c r="A67" s="3"/>
      <c r="B67" s="56" t="s">
        <v>55</v>
      </c>
      <c r="C67" s="2"/>
      <c r="D67" s="2"/>
      <c r="E67" s="2"/>
      <c r="F67" s="2"/>
      <c r="G67" s="2"/>
      <c r="H67" s="2"/>
      <c r="I67" s="2"/>
      <c r="J67" s="3"/>
      <c r="L67" s="9"/>
      <c r="M67" s="9"/>
      <c r="N67" s="9"/>
    </row>
    <row r="68" spans="1:14" hidden="1">
      <c r="A68" s="3"/>
      <c r="B68" s="85"/>
      <c r="C68" s="105" t="s">
        <v>35</v>
      </c>
      <c r="D68" s="86">
        <f>B68*4.54609</f>
        <v>0</v>
      </c>
      <c r="E68" s="2"/>
      <c r="F68" s="2"/>
      <c r="G68" s="2"/>
      <c r="H68" s="2"/>
      <c r="I68" s="2"/>
      <c r="J68" s="3"/>
      <c r="L68" s="9"/>
      <c r="M68" s="9"/>
      <c r="N68" s="9"/>
    </row>
    <row r="69" spans="1:14" hidden="1">
      <c r="A69" s="3"/>
      <c r="B69" s="2"/>
      <c r="C69" s="2"/>
      <c r="D69" s="2"/>
      <c r="E69" s="2"/>
      <c r="F69" s="2"/>
      <c r="G69" s="2"/>
      <c r="H69" s="2"/>
      <c r="I69" s="2"/>
      <c r="J69" s="3"/>
      <c r="L69" s="9"/>
      <c r="M69" s="9"/>
      <c r="N69" s="9"/>
    </row>
    <row r="70" spans="1:14" hidden="1">
      <c r="A70" s="3"/>
      <c r="B70" s="56" t="s">
        <v>49</v>
      </c>
      <c r="C70" s="2"/>
      <c r="D70" s="2"/>
      <c r="E70" s="2"/>
      <c r="F70" s="2"/>
      <c r="G70" s="2"/>
      <c r="H70" s="2"/>
      <c r="I70" s="2"/>
      <c r="J70" s="3"/>
      <c r="L70" s="9"/>
      <c r="M70" s="9"/>
      <c r="N70" s="9"/>
    </row>
    <row r="71" spans="1:14" hidden="1">
      <c r="A71" s="3"/>
      <c r="B71" s="85"/>
      <c r="C71" s="105" t="s">
        <v>35</v>
      </c>
      <c r="D71" s="86">
        <f>B71/4.54609</f>
        <v>0</v>
      </c>
      <c r="E71" s="2"/>
      <c r="F71" s="2"/>
      <c r="G71" s="2"/>
      <c r="H71" s="2"/>
      <c r="I71" s="2"/>
      <c r="J71" s="3"/>
      <c r="L71" s="9"/>
      <c r="M71" s="9"/>
      <c r="N71" s="9"/>
    </row>
    <row r="72" spans="1:14" hidden="1">
      <c r="A72" s="3"/>
      <c r="J72" s="3"/>
      <c r="L72" s="9"/>
      <c r="M72" s="9"/>
      <c r="N72" s="9"/>
    </row>
    <row r="73" spans="1:14" hidden="1">
      <c r="A73" s="3"/>
      <c r="B73" s="8" t="s">
        <v>57</v>
      </c>
      <c r="J73" s="3"/>
      <c r="L73" s="9"/>
      <c r="M73" s="9"/>
      <c r="N73" s="9"/>
    </row>
    <row r="74" spans="1:14" hidden="1">
      <c r="A74" s="3"/>
      <c r="B74" s="94"/>
      <c r="C74" s="105" t="s">
        <v>35</v>
      </c>
      <c r="D74" s="93">
        <f>B74*3.78541</f>
        <v>0</v>
      </c>
      <c r="J74" s="3"/>
      <c r="L74" s="9"/>
      <c r="M74" s="9"/>
      <c r="N74" s="9"/>
    </row>
    <row r="75" spans="1:14" hidden="1">
      <c r="A75" s="3"/>
      <c r="J75" s="3"/>
      <c r="L75" s="9"/>
      <c r="M75" s="9"/>
      <c r="N75" s="9"/>
    </row>
    <row r="76" spans="1:14" hidden="1">
      <c r="A76" s="3"/>
      <c r="B76" s="8" t="s">
        <v>58</v>
      </c>
      <c r="J76" s="3"/>
      <c r="L76" s="9"/>
      <c r="M76" s="9"/>
      <c r="N76" s="9"/>
    </row>
    <row r="77" spans="1:14" hidden="1">
      <c r="A77" s="3"/>
      <c r="B77" s="94"/>
      <c r="C77" s="105" t="s">
        <v>35</v>
      </c>
      <c r="D77" s="93">
        <f>B77/3.78541</f>
        <v>0</v>
      </c>
      <c r="J77" s="3"/>
      <c r="L77" s="9"/>
      <c r="M77" s="9"/>
      <c r="N77" s="9"/>
    </row>
    <row r="78" spans="1:14" hidden="1">
      <c r="A78" s="3"/>
      <c r="J78" s="3"/>
      <c r="L78" s="9"/>
      <c r="M78" s="9"/>
      <c r="N78" s="9"/>
    </row>
    <row r="79" spans="1:14" hidden="1">
      <c r="A79" s="3"/>
      <c r="J79" s="3"/>
      <c r="L79" s="9"/>
      <c r="M79" s="9"/>
      <c r="N79" s="9"/>
    </row>
    <row r="80" spans="1:14" hidden="1">
      <c r="A80" s="3"/>
      <c r="J80" s="3"/>
      <c r="L80" s="9"/>
      <c r="M80" s="9"/>
      <c r="N80" s="9"/>
    </row>
    <row r="81" spans="1:14" hidden="1">
      <c r="A81" s="3"/>
      <c r="J81" s="3"/>
      <c r="L81" s="9"/>
      <c r="M81" s="9"/>
      <c r="N81" s="9"/>
    </row>
    <row r="82" spans="1:14" hidden="1">
      <c r="A82" s="3"/>
      <c r="J82" s="3"/>
      <c r="L82" s="9"/>
      <c r="M82" s="9"/>
      <c r="N82" s="9"/>
    </row>
    <row r="83" spans="1:14" ht="15.75" hidden="1" thickBot="1">
      <c r="A83" s="3"/>
      <c r="B83" s="4"/>
      <c r="C83" s="5"/>
      <c r="D83" s="5"/>
      <c r="E83" s="5"/>
      <c r="F83" s="5"/>
      <c r="G83" s="5"/>
      <c r="H83" s="5"/>
      <c r="I83" s="5"/>
      <c r="J83" s="6"/>
      <c r="L83" s="9"/>
      <c r="M83" s="9"/>
      <c r="N83" s="9"/>
    </row>
    <row r="84" spans="1:14" ht="15.75" hidden="1" thickTop="1">
      <c r="A84" s="3"/>
      <c r="J84" s="3"/>
      <c r="L84" s="9"/>
      <c r="M84" s="9"/>
      <c r="N84" s="9"/>
    </row>
    <row r="85" spans="1:14" hidden="1">
      <c r="A85" s="3"/>
      <c r="B85" t="s">
        <v>86</v>
      </c>
      <c r="J85" s="3"/>
      <c r="L85" s="9"/>
      <c r="M85" s="9"/>
      <c r="N85" s="9"/>
    </row>
    <row r="86" spans="1:14" hidden="1">
      <c r="A86" s="3"/>
      <c r="J86" s="3"/>
      <c r="L86" s="9"/>
      <c r="M86" s="9"/>
      <c r="N86" s="9"/>
    </row>
    <row r="87" spans="1:14" hidden="1">
      <c r="A87" s="3"/>
      <c r="B87" s="118"/>
      <c r="D87" t="s">
        <v>87</v>
      </c>
      <c r="J87" s="3"/>
      <c r="L87" s="9"/>
      <c r="M87" s="9"/>
      <c r="N87" s="9"/>
    </row>
    <row r="88" spans="1:14" hidden="1">
      <c r="A88" s="3"/>
      <c r="B88" s="17"/>
      <c r="J88" s="3"/>
      <c r="L88" s="9"/>
      <c r="M88" s="9"/>
      <c r="N88" s="9"/>
    </row>
    <row r="89" spans="1:14" hidden="1">
      <c r="A89" s="3"/>
      <c r="B89" s="18"/>
      <c r="D89" t="s">
        <v>88</v>
      </c>
      <c r="J89" s="3"/>
      <c r="L89" s="9"/>
      <c r="M89" s="9"/>
      <c r="N89" s="9"/>
    </row>
    <row r="90" spans="1:14" hidden="1">
      <c r="A90" s="3"/>
      <c r="B90" s="119"/>
      <c r="J90" s="3"/>
      <c r="L90" s="9"/>
      <c r="M90" s="9"/>
      <c r="N90" s="9"/>
    </row>
    <row r="91" spans="1:14" hidden="1">
      <c r="A91" s="3"/>
      <c r="B91" s="120"/>
      <c r="J91" s="3"/>
      <c r="L91" s="9"/>
      <c r="M91" s="9"/>
      <c r="N91" s="9"/>
    </row>
    <row r="92" spans="1:14" hidden="1">
      <c r="A92" s="3"/>
      <c r="J92" s="3"/>
      <c r="L92" s="9"/>
      <c r="M92" s="9"/>
      <c r="N92" s="9"/>
    </row>
    <row r="93" spans="1:14" hidden="1">
      <c r="A93" s="3"/>
      <c r="J93" s="3"/>
      <c r="L93" s="9"/>
      <c r="M93" s="9"/>
      <c r="N93" s="9"/>
    </row>
    <row r="94" spans="1:14" hidden="1">
      <c r="A94" s="3"/>
      <c r="J94" s="3"/>
      <c r="L94" s="9"/>
      <c r="M94" s="9"/>
      <c r="N94" s="9"/>
    </row>
    <row r="95" spans="1:14" hidden="1">
      <c r="A95" s="3"/>
      <c r="J95" s="3"/>
      <c r="L95" s="9"/>
      <c r="M95" s="9"/>
      <c r="N95" s="9"/>
    </row>
    <row r="96" spans="1:14" hidden="1">
      <c r="A96" s="3"/>
      <c r="J96" s="3"/>
      <c r="L96" s="9"/>
      <c r="M96" s="9"/>
      <c r="N96" s="9"/>
    </row>
    <row r="97" spans="1:14" hidden="1">
      <c r="A97" s="3"/>
      <c r="J97" s="3"/>
      <c r="L97" s="9"/>
      <c r="M97" s="9"/>
      <c r="N97" s="9"/>
    </row>
    <row r="98" spans="1:14" hidden="1">
      <c r="A98" s="3"/>
      <c r="J98" s="3"/>
      <c r="L98" s="9"/>
      <c r="M98" s="9"/>
      <c r="N98" s="9"/>
    </row>
    <row r="99" spans="1:14" hidden="1">
      <c r="A99" s="3"/>
      <c r="J99" s="3"/>
      <c r="L99" s="9"/>
      <c r="M99" s="9"/>
      <c r="N99" s="9"/>
    </row>
    <row r="100" spans="1:14" hidden="1">
      <c r="A100" s="3"/>
      <c r="J100" s="3"/>
      <c r="L100" s="9"/>
      <c r="M100" s="9"/>
      <c r="N100" s="9"/>
    </row>
    <row r="101" spans="1:14" hidden="1">
      <c r="A101" s="3"/>
      <c r="J101" s="3"/>
      <c r="L101" s="9"/>
      <c r="M101" s="9"/>
      <c r="N101" s="9"/>
    </row>
    <row r="102" spans="1:14" ht="15.75" hidden="1" thickBot="1">
      <c r="A102" s="3"/>
      <c r="B102" s="2"/>
      <c r="C102" s="2"/>
      <c r="D102" s="2"/>
      <c r="E102" s="2"/>
      <c r="F102" s="2"/>
      <c r="G102" s="2"/>
      <c r="H102" s="2"/>
      <c r="I102" s="2"/>
      <c r="J102" s="3"/>
      <c r="L102" s="9"/>
      <c r="M102" s="9"/>
      <c r="N102" s="9"/>
    </row>
    <row r="103" spans="1:14" ht="16.5" thickTop="1">
      <c r="A103" s="3"/>
      <c r="B103" s="117" t="s">
        <v>152</v>
      </c>
      <c r="C103" s="73"/>
      <c r="D103" s="73"/>
      <c r="E103" s="73"/>
      <c r="F103" s="73"/>
      <c r="G103" s="73"/>
      <c r="H103" s="73"/>
      <c r="I103" s="73"/>
      <c r="J103" s="74"/>
      <c r="L103" s="9"/>
      <c r="M103" s="9"/>
      <c r="N103" s="9"/>
    </row>
    <row r="104" spans="1:14">
      <c r="A104" s="3"/>
      <c r="B104" s="2"/>
      <c r="C104" s="2"/>
      <c r="D104" s="2"/>
      <c r="E104" s="2"/>
      <c r="F104" s="2"/>
      <c r="G104" s="2"/>
      <c r="H104" s="2"/>
      <c r="I104" s="2"/>
      <c r="J104" s="3"/>
      <c r="L104" s="9"/>
      <c r="M104" s="9"/>
      <c r="N104" s="9"/>
    </row>
    <row r="105" spans="1:14">
      <c r="A105" s="3"/>
      <c r="B105" s="2"/>
      <c r="C105" s="2"/>
      <c r="D105" s="2"/>
      <c r="E105" s="2"/>
      <c r="F105" s="2"/>
      <c r="G105" s="2"/>
      <c r="H105" s="2"/>
      <c r="I105" s="2"/>
      <c r="J105" s="3"/>
      <c r="L105" s="9"/>
      <c r="M105" s="9"/>
      <c r="N105" s="9"/>
    </row>
    <row r="106" spans="1:14">
      <c r="A106" s="3"/>
      <c r="B106" s="2"/>
      <c r="C106" s="2"/>
      <c r="D106" s="2"/>
      <c r="E106" s="2"/>
      <c r="F106" s="2"/>
      <c r="G106" s="2"/>
      <c r="H106" s="2"/>
      <c r="I106" s="2"/>
      <c r="J106" s="3"/>
      <c r="L106" s="9"/>
      <c r="M106" s="9"/>
      <c r="N106" s="9"/>
    </row>
    <row r="107" spans="1:14">
      <c r="A107" s="3"/>
      <c r="B107" s="2"/>
      <c r="C107" s="2"/>
      <c r="D107" s="2"/>
      <c r="E107" s="2"/>
      <c r="F107" s="2"/>
      <c r="G107" s="2"/>
      <c r="H107" s="2"/>
      <c r="I107" s="2"/>
      <c r="J107" s="3"/>
      <c r="L107" s="9"/>
      <c r="M107" s="9"/>
      <c r="N107" s="9"/>
    </row>
    <row r="108" spans="1:14" ht="15.75" thickBot="1">
      <c r="A108" s="3"/>
      <c r="B108" s="5"/>
      <c r="C108" s="5"/>
      <c r="D108" s="5"/>
      <c r="E108" s="5"/>
      <c r="F108" s="5"/>
      <c r="G108" s="5"/>
      <c r="H108" s="5"/>
      <c r="I108" s="5"/>
      <c r="J108" s="6"/>
      <c r="L108" s="9"/>
      <c r="M108" s="9"/>
      <c r="N108" s="9"/>
    </row>
    <row r="109" spans="1:14" ht="16.5" thickTop="1" thickBot="1">
      <c r="A109" s="2"/>
      <c r="B109" s="75"/>
      <c r="C109" s="75"/>
      <c r="D109" s="75"/>
      <c r="E109" s="75"/>
      <c r="F109" s="75"/>
      <c r="G109" s="75"/>
      <c r="H109" s="75"/>
      <c r="I109" s="75"/>
      <c r="J109" s="143"/>
      <c r="L109" s="9"/>
      <c r="M109" s="9"/>
      <c r="N109" s="9"/>
    </row>
    <row r="110" spans="1:14" ht="16.5" hidden="1" thickTop="1">
      <c r="A110" s="3"/>
      <c r="B110" s="76" t="s">
        <v>32</v>
      </c>
      <c r="C110" s="77"/>
      <c r="D110" s="2"/>
      <c r="E110" s="2"/>
      <c r="F110" s="2"/>
      <c r="G110" s="2"/>
      <c r="H110" s="2"/>
      <c r="I110" s="2"/>
      <c r="J110" s="74"/>
      <c r="L110" s="9"/>
      <c r="M110" s="9"/>
      <c r="N110" s="9"/>
    </row>
    <row r="111" spans="1:14" hidden="1">
      <c r="A111" s="3"/>
      <c r="B111" s="56"/>
      <c r="C111" s="2"/>
      <c r="D111" s="2"/>
      <c r="E111" s="2"/>
      <c r="F111" s="2"/>
      <c r="G111" s="2"/>
      <c r="H111" s="2"/>
      <c r="I111" s="2"/>
      <c r="J111" s="3"/>
      <c r="L111" s="9"/>
      <c r="M111" s="9"/>
      <c r="N111" s="9"/>
    </row>
    <row r="112" spans="1:14" hidden="1">
      <c r="A112" s="3"/>
      <c r="B112" s="72" t="s">
        <v>33</v>
      </c>
      <c r="C112" s="2"/>
      <c r="D112" s="2"/>
      <c r="E112" s="2"/>
      <c r="F112" s="2"/>
      <c r="G112" s="2"/>
      <c r="H112" s="2"/>
      <c r="I112" s="2"/>
      <c r="J112" s="3"/>
      <c r="L112" s="9"/>
      <c r="M112" s="9"/>
      <c r="N112" s="9"/>
    </row>
    <row r="113" spans="1:14" ht="15" hidden="1" customHeight="1">
      <c r="A113" s="3"/>
      <c r="B113" s="2"/>
      <c r="C113" s="2"/>
      <c r="D113" s="2"/>
      <c r="E113" s="2"/>
      <c r="F113" s="2"/>
      <c r="G113" s="2"/>
      <c r="H113" s="2"/>
      <c r="I113" s="2"/>
      <c r="J113" s="3"/>
      <c r="L113" s="9"/>
      <c r="M113" s="9"/>
      <c r="N113" s="9"/>
    </row>
    <row r="114" spans="1:14" hidden="1">
      <c r="A114" s="3"/>
      <c r="B114" s="2"/>
      <c r="C114" s="2"/>
      <c r="D114" s="2"/>
      <c r="E114" s="2"/>
      <c r="F114" s="2"/>
      <c r="G114" s="2"/>
      <c r="H114" s="2"/>
      <c r="I114" s="2"/>
      <c r="J114" s="3"/>
      <c r="L114" s="9"/>
      <c r="M114" s="9"/>
      <c r="N114" s="9"/>
    </row>
    <row r="115" spans="1:14" ht="15.75" hidden="1" thickBot="1">
      <c r="A115" s="3"/>
      <c r="B115" s="5"/>
      <c r="C115" s="5"/>
      <c r="D115" s="5"/>
      <c r="E115" s="5"/>
      <c r="F115" s="5"/>
      <c r="G115" s="5"/>
      <c r="H115" s="5"/>
      <c r="I115" s="5"/>
      <c r="J115" s="6"/>
      <c r="L115" s="9"/>
      <c r="M115" s="9"/>
      <c r="N115" s="9"/>
    </row>
    <row r="116" spans="1:14" ht="15.75" hidden="1" thickTop="1">
      <c r="A116" s="3"/>
      <c r="B116" s="56" t="s">
        <v>34</v>
      </c>
      <c r="C116" s="2"/>
      <c r="D116" s="2"/>
      <c r="E116" s="2"/>
      <c r="F116" s="2"/>
      <c r="G116" s="2"/>
      <c r="H116" s="2"/>
      <c r="I116" s="2"/>
      <c r="J116" s="3"/>
      <c r="L116" s="9"/>
      <c r="M116" s="9"/>
      <c r="N116" s="9"/>
    </row>
    <row r="117" spans="1:14" hidden="1">
      <c r="A117" s="3"/>
      <c r="B117" s="2"/>
      <c r="C117" s="2"/>
      <c r="D117" s="2"/>
      <c r="E117" s="2"/>
      <c r="F117" s="2"/>
      <c r="G117" s="2"/>
      <c r="H117" s="2"/>
      <c r="I117" s="2"/>
      <c r="J117" s="3"/>
      <c r="L117" s="9"/>
      <c r="M117" s="9"/>
      <c r="N117" s="9"/>
    </row>
    <row r="118" spans="1:14" hidden="1">
      <c r="A118" s="3"/>
      <c r="B118" s="8" t="s">
        <v>92</v>
      </c>
      <c r="C118" s="56"/>
      <c r="D118" s="56"/>
      <c r="E118" s="2"/>
      <c r="F118" s="2"/>
      <c r="G118" s="2"/>
      <c r="H118" s="2"/>
      <c r="I118" s="2"/>
      <c r="J118" s="3"/>
      <c r="L118" s="9"/>
      <c r="M118" s="9"/>
      <c r="N118" s="9"/>
    </row>
    <row r="119" spans="1:14" hidden="1">
      <c r="A119" s="3"/>
      <c r="B119" s="88"/>
      <c r="C119" s="87" t="s">
        <v>35</v>
      </c>
      <c r="D119" s="89">
        <f>B119/28.3595*1</f>
        <v>0</v>
      </c>
      <c r="F119" s="2"/>
      <c r="G119" s="2"/>
      <c r="H119" s="2"/>
      <c r="I119" s="2"/>
      <c r="J119" s="3"/>
      <c r="L119" s="9"/>
      <c r="M119" s="9"/>
      <c r="N119" s="9"/>
    </row>
    <row r="120" spans="1:14" hidden="1">
      <c r="A120" s="3"/>
      <c r="B120" s="56"/>
      <c r="C120" s="56"/>
      <c r="D120" s="91"/>
      <c r="E120" s="2"/>
      <c r="F120" s="2"/>
      <c r="G120" s="2"/>
      <c r="H120" s="2"/>
      <c r="I120" s="2"/>
      <c r="J120" s="3"/>
      <c r="L120" s="9"/>
      <c r="M120" s="9"/>
      <c r="N120" s="9"/>
    </row>
    <row r="121" spans="1:14" hidden="1">
      <c r="A121" s="3"/>
      <c r="B121" s="56" t="s">
        <v>93</v>
      </c>
      <c r="C121" s="56"/>
      <c r="D121" s="91"/>
      <c r="E121" s="2"/>
      <c r="F121" s="2"/>
      <c r="G121" s="2"/>
      <c r="H121" s="2"/>
      <c r="I121" s="2"/>
      <c r="J121" s="3"/>
      <c r="L121" s="9"/>
      <c r="M121" s="9"/>
      <c r="N121" s="9"/>
    </row>
    <row r="122" spans="1:14" hidden="1">
      <c r="A122" s="3"/>
      <c r="B122" s="88"/>
      <c r="C122" s="87" t="s">
        <v>35</v>
      </c>
      <c r="D122" s="92">
        <f>B122*28.3495*1</f>
        <v>0</v>
      </c>
      <c r="E122" s="2"/>
      <c r="F122" s="2"/>
      <c r="G122" s="2"/>
      <c r="H122" s="2"/>
      <c r="I122" s="2"/>
      <c r="J122" s="3"/>
      <c r="L122" s="9"/>
      <c r="M122" s="9"/>
      <c r="N122" s="9"/>
    </row>
    <row r="123" spans="1:14" hidden="1">
      <c r="A123" s="3"/>
      <c r="B123" s="56"/>
      <c r="C123" s="56"/>
      <c r="D123" s="91"/>
      <c r="E123" s="2"/>
      <c r="F123" s="2"/>
      <c r="G123" s="2"/>
      <c r="H123" s="2"/>
      <c r="I123" s="2"/>
      <c r="J123" s="3"/>
      <c r="L123" s="9"/>
      <c r="M123" s="9"/>
      <c r="N123" s="9"/>
    </row>
    <row r="124" spans="1:14" hidden="1">
      <c r="A124" s="3"/>
      <c r="B124" s="56" t="s">
        <v>94</v>
      </c>
      <c r="C124" s="56"/>
      <c r="D124" s="91"/>
      <c r="E124" s="2"/>
      <c r="F124" s="2"/>
      <c r="G124" s="2"/>
      <c r="H124" s="2"/>
      <c r="I124" s="2"/>
      <c r="J124" s="3"/>
      <c r="L124" s="9"/>
      <c r="M124" s="9"/>
      <c r="N124" s="9"/>
    </row>
    <row r="125" spans="1:14" hidden="1">
      <c r="A125" s="3"/>
      <c r="B125" s="88"/>
      <c r="C125" s="87" t="s">
        <v>35</v>
      </c>
      <c r="D125" s="92">
        <f>B125*6.35029*1</f>
        <v>0</v>
      </c>
      <c r="E125" s="2"/>
      <c r="F125" s="2"/>
      <c r="G125" s="2"/>
      <c r="H125" s="2"/>
      <c r="I125" s="90"/>
      <c r="J125" s="3"/>
      <c r="L125" s="9"/>
      <c r="M125" s="9"/>
      <c r="N125" s="9"/>
    </row>
    <row r="126" spans="1:14" hidden="1">
      <c r="A126" s="3"/>
      <c r="B126" s="56"/>
      <c r="C126" s="56"/>
      <c r="D126" s="91"/>
      <c r="E126" s="2"/>
      <c r="F126" s="2"/>
      <c r="G126" s="2"/>
      <c r="H126" s="2"/>
      <c r="I126" s="2"/>
      <c r="J126" s="3"/>
      <c r="L126" s="9"/>
      <c r="M126" s="9"/>
      <c r="N126" s="9"/>
    </row>
    <row r="127" spans="1:14" hidden="1">
      <c r="A127" s="3"/>
      <c r="B127" s="56" t="s">
        <v>37</v>
      </c>
      <c r="C127" s="2"/>
      <c r="D127" s="10"/>
      <c r="E127" s="2"/>
      <c r="F127" s="2"/>
      <c r="G127" s="2"/>
      <c r="H127" s="2"/>
      <c r="I127" s="2"/>
      <c r="J127" s="3"/>
      <c r="L127" s="9"/>
      <c r="M127" s="9"/>
      <c r="N127" s="9"/>
    </row>
    <row r="128" spans="1:14" hidden="1">
      <c r="A128" s="3"/>
      <c r="B128" s="85"/>
      <c r="C128" s="87" t="s">
        <v>35</v>
      </c>
      <c r="D128" s="84">
        <f>B128/6.35029*1</f>
        <v>0</v>
      </c>
      <c r="E128" s="2"/>
      <c r="F128" s="2"/>
      <c r="G128" s="2"/>
      <c r="H128" s="2"/>
      <c r="I128" s="2"/>
      <c r="J128" s="3"/>
      <c r="L128" s="9"/>
      <c r="M128" s="9"/>
      <c r="N128" s="9"/>
    </row>
    <row r="129" spans="1:14" hidden="1">
      <c r="A129" s="3"/>
      <c r="B129" s="2"/>
      <c r="C129" s="2"/>
      <c r="D129" s="2"/>
      <c r="E129" s="2"/>
      <c r="F129" s="2"/>
      <c r="G129" s="2"/>
      <c r="H129" s="2"/>
      <c r="I129" s="2"/>
      <c r="J129" s="3"/>
      <c r="L129" s="9"/>
      <c r="M129" s="9"/>
      <c r="N129" s="9"/>
    </row>
    <row r="130" spans="1:14" hidden="1">
      <c r="A130" s="3"/>
      <c r="B130" s="56" t="s">
        <v>95</v>
      </c>
      <c r="C130" s="2"/>
      <c r="D130" s="2"/>
      <c r="E130" s="2"/>
      <c r="F130" s="2"/>
      <c r="G130" s="2"/>
      <c r="H130" s="2"/>
      <c r="I130" s="2"/>
      <c r="J130" s="3"/>
      <c r="L130" s="9"/>
      <c r="M130" s="9"/>
      <c r="N130" s="9"/>
    </row>
    <row r="131" spans="1:14" hidden="1">
      <c r="A131" s="3"/>
      <c r="B131" s="85"/>
      <c r="C131" s="87" t="s">
        <v>35</v>
      </c>
      <c r="D131" s="86">
        <f>B131*1016.05*1</f>
        <v>0</v>
      </c>
      <c r="E131" s="2"/>
      <c r="F131" s="2"/>
      <c r="G131" s="2"/>
      <c r="H131" s="2"/>
      <c r="I131" s="2"/>
      <c r="J131" s="3"/>
      <c r="L131" s="9"/>
      <c r="M131" s="9"/>
      <c r="N131" s="9"/>
    </row>
    <row r="132" spans="1:14" hidden="1">
      <c r="A132" s="3"/>
      <c r="B132" s="2"/>
      <c r="C132" s="2"/>
      <c r="D132" s="2"/>
      <c r="E132" s="2"/>
      <c r="F132" s="2"/>
      <c r="G132" s="2"/>
      <c r="H132" s="2"/>
      <c r="I132" s="2"/>
      <c r="J132" s="3"/>
      <c r="L132" s="9"/>
      <c r="M132" s="9"/>
      <c r="N132" s="9"/>
    </row>
    <row r="133" spans="1:14" hidden="1">
      <c r="A133" s="3"/>
      <c r="B133" s="56" t="s">
        <v>38</v>
      </c>
      <c r="C133" s="2"/>
      <c r="D133" s="2"/>
      <c r="E133" s="2"/>
      <c r="F133" s="2"/>
      <c r="G133" s="2"/>
      <c r="H133" s="2"/>
      <c r="I133" s="2"/>
      <c r="J133" s="3"/>
      <c r="L133" s="9"/>
      <c r="M133" s="9"/>
      <c r="N133" s="9"/>
    </row>
    <row r="134" spans="1:14" hidden="1">
      <c r="A134" s="3"/>
      <c r="B134" s="85"/>
      <c r="C134" s="87" t="s">
        <v>35</v>
      </c>
      <c r="D134" s="86">
        <f>B134/1016.05*1</f>
        <v>0</v>
      </c>
      <c r="E134" s="2"/>
      <c r="F134" s="2"/>
      <c r="G134" s="2"/>
      <c r="H134" s="2"/>
      <c r="I134" s="2"/>
      <c r="J134" s="3"/>
      <c r="L134" s="9"/>
      <c r="M134" s="9"/>
      <c r="N134" s="9"/>
    </row>
    <row r="135" spans="1:14" hidden="1">
      <c r="A135" s="3"/>
      <c r="B135" s="2"/>
      <c r="C135" s="2"/>
      <c r="D135" s="2"/>
      <c r="E135" s="2"/>
      <c r="F135" s="2"/>
      <c r="G135" s="2"/>
      <c r="H135" s="2"/>
      <c r="I135" s="2"/>
      <c r="J135" s="3"/>
      <c r="L135" s="9"/>
      <c r="M135" s="9"/>
      <c r="N135" s="9"/>
    </row>
    <row r="136" spans="1:14" hidden="1">
      <c r="A136" s="3"/>
      <c r="B136" s="56" t="s">
        <v>96</v>
      </c>
      <c r="C136" s="2"/>
      <c r="D136" s="2"/>
      <c r="E136" s="2"/>
      <c r="F136" s="2"/>
      <c r="G136" s="2"/>
      <c r="H136" s="2"/>
      <c r="I136" s="2"/>
      <c r="J136" s="3"/>
      <c r="L136" s="9"/>
      <c r="M136" s="9"/>
      <c r="N136" s="9"/>
    </row>
    <row r="137" spans="1:14" hidden="1">
      <c r="A137" s="3"/>
      <c r="B137" s="85"/>
      <c r="C137" s="105" t="s">
        <v>35</v>
      </c>
      <c r="D137" s="86">
        <f>B137*907.185*1</f>
        <v>0</v>
      </c>
      <c r="E137" s="2"/>
      <c r="F137" s="2"/>
      <c r="G137" s="2"/>
      <c r="H137" s="2"/>
      <c r="I137" s="2"/>
      <c r="J137" s="3"/>
      <c r="L137" s="9"/>
      <c r="M137" s="9"/>
      <c r="N137" s="9"/>
    </row>
    <row r="138" spans="1:14" hidden="1">
      <c r="A138" s="3"/>
      <c r="B138" s="2"/>
      <c r="C138" s="2"/>
      <c r="D138" s="2"/>
      <c r="E138" s="2"/>
      <c r="F138" s="2"/>
      <c r="G138" s="2"/>
      <c r="H138" s="2"/>
      <c r="I138" s="2"/>
      <c r="J138" s="3"/>
      <c r="L138" s="9"/>
      <c r="M138" s="9"/>
      <c r="N138" s="9"/>
    </row>
    <row r="139" spans="1:14" hidden="1">
      <c r="A139" s="3"/>
      <c r="B139" s="103" t="s">
        <v>97</v>
      </c>
      <c r="C139" s="2"/>
      <c r="D139" s="2"/>
      <c r="E139" s="2"/>
      <c r="F139" s="2"/>
      <c r="G139" s="2"/>
      <c r="H139" s="2"/>
      <c r="I139" s="2"/>
      <c r="J139" s="3"/>
      <c r="L139" s="9"/>
      <c r="M139" s="9"/>
      <c r="N139" s="9"/>
    </row>
    <row r="140" spans="1:14" hidden="1">
      <c r="B140" s="104"/>
      <c r="C140" s="105" t="s">
        <v>35</v>
      </c>
      <c r="D140" s="86">
        <f>B140/907.185*1</f>
        <v>0</v>
      </c>
      <c r="E140" s="2"/>
      <c r="F140" s="2"/>
      <c r="G140" s="2"/>
      <c r="H140" s="2"/>
      <c r="I140" s="2"/>
      <c r="J140" s="3"/>
      <c r="L140" s="9"/>
      <c r="M140" s="9"/>
      <c r="N140" s="9"/>
    </row>
    <row r="141" spans="1:14" hidden="1">
      <c r="A141" s="3"/>
      <c r="B141" s="2"/>
      <c r="C141" s="2"/>
      <c r="D141" s="2"/>
      <c r="E141" s="2"/>
      <c r="F141" s="2"/>
      <c r="G141" s="2"/>
      <c r="H141" s="2"/>
      <c r="I141" s="2"/>
      <c r="J141" s="3"/>
      <c r="L141" s="9"/>
      <c r="M141" s="9"/>
      <c r="N141" s="9"/>
    </row>
    <row r="142" spans="1:14" hidden="1">
      <c r="A142" s="3"/>
      <c r="B142" s="56" t="s">
        <v>98</v>
      </c>
      <c r="C142" s="2"/>
      <c r="D142" s="2"/>
      <c r="E142" s="2"/>
      <c r="F142" s="2"/>
      <c r="G142" s="2"/>
      <c r="H142" s="2"/>
      <c r="I142" s="2"/>
      <c r="J142" s="3"/>
      <c r="L142" s="9"/>
      <c r="M142" s="9"/>
      <c r="N142" s="9"/>
    </row>
    <row r="143" spans="1:14" hidden="1">
      <c r="A143" s="3"/>
      <c r="B143" s="85"/>
      <c r="C143" s="105" t="s">
        <v>35</v>
      </c>
      <c r="D143" s="86">
        <f>B143*2.20462*1</f>
        <v>0</v>
      </c>
      <c r="E143" s="2"/>
      <c r="F143" s="2"/>
      <c r="G143" s="2"/>
      <c r="H143" s="2"/>
      <c r="I143" s="2"/>
      <c r="J143" s="3"/>
      <c r="L143" s="9"/>
      <c r="M143" s="9"/>
      <c r="N143" s="9"/>
    </row>
    <row r="144" spans="1:14" hidden="1">
      <c r="A144" s="3"/>
      <c r="B144" s="2"/>
      <c r="C144" s="2"/>
      <c r="D144" s="2"/>
      <c r="E144" s="2"/>
      <c r="F144" s="2"/>
      <c r="G144" s="2"/>
      <c r="H144" s="2"/>
      <c r="I144" s="2"/>
      <c r="J144" s="3"/>
      <c r="L144" s="9"/>
      <c r="M144" s="9"/>
      <c r="N144" s="9"/>
    </row>
    <row r="145" spans="1:14" hidden="1">
      <c r="A145" s="3"/>
      <c r="B145" s="56" t="s">
        <v>61</v>
      </c>
      <c r="C145" s="2"/>
      <c r="D145" s="2"/>
      <c r="E145" s="2"/>
      <c r="F145" s="2"/>
      <c r="G145" s="2"/>
      <c r="H145" s="2"/>
      <c r="I145" s="2"/>
      <c r="J145" s="3"/>
      <c r="L145" s="9"/>
      <c r="M145" s="9"/>
      <c r="N145" s="9"/>
    </row>
    <row r="146" spans="1:14" hidden="1">
      <c r="A146" s="3"/>
      <c r="B146" s="85"/>
      <c r="C146" s="105" t="s">
        <v>35</v>
      </c>
      <c r="D146" s="86">
        <f>B146/2.20462*1</f>
        <v>0</v>
      </c>
      <c r="E146" s="2"/>
      <c r="F146" s="2"/>
      <c r="G146" s="2"/>
      <c r="H146" s="2"/>
      <c r="I146" s="2"/>
      <c r="J146" s="3"/>
      <c r="L146" s="9"/>
      <c r="M146" s="9"/>
      <c r="N146" s="9"/>
    </row>
    <row r="147" spans="1:14" hidden="1">
      <c r="A147" s="3"/>
      <c r="B147" s="2"/>
      <c r="C147" s="2"/>
      <c r="D147" s="2"/>
      <c r="E147" s="2"/>
      <c r="F147" s="2"/>
      <c r="G147" s="2"/>
      <c r="H147" s="2"/>
      <c r="I147" s="2"/>
      <c r="J147" s="3"/>
      <c r="L147" s="9"/>
      <c r="M147" s="9"/>
      <c r="N147" s="9"/>
    </row>
    <row r="148" spans="1:14" hidden="1">
      <c r="A148" s="3"/>
      <c r="B148" s="56" t="s">
        <v>59</v>
      </c>
      <c r="C148" s="2"/>
      <c r="D148" s="2"/>
      <c r="E148" s="2"/>
      <c r="F148" s="2"/>
      <c r="G148" s="2"/>
      <c r="H148" s="2"/>
      <c r="I148" s="2"/>
      <c r="J148" s="3"/>
      <c r="L148" s="9"/>
      <c r="M148" s="9"/>
      <c r="N148" s="9"/>
    </row>
    <row r="149" spans="1:14" hidden="1">
      <c r="A149" s="3"/>
      <c r="B149" s="85"/>
      <c r="C149" s="105" t="s">
        <v>35</v>
      </c>
      <c r="D149" s="86">
        <f>B149*224*1</f>
        <v>0</v>
      </c>
      <c r="E149" s="2"/>
      <c r="F149" s="2"/>
      <c r="G149" s="2"/>
      <c r="H149" s="2"/>
      <c r="I149" s="2"/>
      <c r="J149" s="3"/>
      <c r="L149" s="9"/>
      <c r="M149" s="9"/>
      <c r="N149" s="9"/>
    </row>
    <row r="150" spans="1:14" hidden="1">
      <c r="A150" s="3"/>
      <c r="B150" s="2"/>
      <c r="C150" s="2"/>
      <c r="D150" s="2"/>
      <c r="E150" s="2"/>
      <c r="F150" s="2"/>
      <c r="G150" s="2"/>
      <c r="H150" s="2"/>
      <c r="I150" s="2"/>
      <c r="J150" s="3"/>
      <c r="L150" s="9"/>
      <c r="M150" s="9"/>
      <c r="N150" s="9"/>
    </row>
    <row r="151" spans="1:14" hidden="1">
      <c r="A151" s="3"/>
      <c r="B151" s="56" t="s">
        <v>60</v>
      </c>
      <c r="C151" s="2"/>
      <c r="D151" s="2"/>
      <c r="E151" s="2"/>
      <c r="F151" s="2"/>
      <c r="G151" s="2"/>
      <c r="H151" s="2"/>
      <c r="I151" s="2"/>
      <c r="J151" s="3"/>
      <c r="L151" s="9"/>
      <c r="M151" s="9"/>
      <c r="N151" s="9"/>
    </row>
    <row r="152" spans="1:14" hidden="1">
      <c r="A152" s="3"/>
      <c r="B152" s="85"/>
      <c r="C152" s="105" t="s">
        <v>35</v>
      </c>
      <c r="D152" s="86">
        <f>B152/224*1</f>
        <v>0</v>
      </c>
      <c r="E152" s="2"/>
      <c r="F152" s="2"/>
      <c r="G152" s="2"/>
      <c r="H152" s="2"/>
      <c r="I152" s="2"/>
      <c r="J152" s="3"/>
      <c r="L152" s="9"/>
      <c r="M152" s="9"/>
      <c r="N152" s="9"/>
    </row>
    <row r="153" spans="1:14" hidden="1">
      <c r="A153" s="3"/>
      <c r="B153" s="2"/>
      <c r="C153" s="2"/>
      <c r="D153" s="2"/>
      <c r="E153" s="2"/>
      <c r="F153" s="2"/>
      <c r="G153" s="2"/>
      <c r="H153" s="2"/>
      <c r="I153" s="2"/>
      <c r="J153" s="3"/>
      <c r="L153" s="9"/>
      <c r="M153" s="9"/>
      <c r="N153" s="9"/>
    </row>
    <row r="154" spans="1:14" hidden="1">
      <c r="A154" s="2"/>
      <c r="B154" s="103" t="s">
        <v>111</v>
      </c>
      <c r="C154" s="2"/>
      <c r="D154" s="2"/>
      <c r="E154" s="2"/>
      <c r="F154" s="2"/>
      <c r="G154" s="2"/>
      <c r="H154" s="2"/>
      <c r="I154" s="2"/>
      <c r="J154" s="3"/>
      <c r="L154" s="9"/>
      <c r="M154" s="9"/>
      <c r="N154" s="9"/>
    </row>
    <row r="155" spans="1:14" hidden="1">
      <c r="A155" s="3"/>
      <c r="B155" s="104"/>
      <c r="C155" s="109" t="s">
        <v>35</v>
      </c>
      <c r="D155" s="86">
        <f>B155*5</f>
        <v>0</v>
      </c>
      <c r="E155" s="2"/>
      <c r="F155" s="2"/>
      <c r="G155" s="2"/>
      <c r="H155" s="2"/>
      <c r="I155" s="2"/>
      <c r="J155" s="3"/>
      <c r="L155" s="9"/>
      <c r="M155" s="9"/>
      <c r="N155" s="9"/>
    </row>
    <row r="156" spans="1:14" hidden="1">
      <c r="A156" s="3"/>
      <c r="B156" s="2"/>
      <c r="C156" s="2"/>
      <c r="D156" s="2"/>
      <c r="E156" s="2"/>
      <c r="F156" s="2"/>
      <c r="G156" s="2"/>
      <c r="H156" s="2"/>
      <c r="I156" s="2"/>
      <c r="J156" s="3"/>
      <c r="L156" s="9"/>
      <c r="M156" s="9"/>
      <c r="N156" s="9"/>
    </row>
    <row r="157" spans="1:14" hidden="1">
      <c r="A157" s="3"/>
      <c r="B157" s="56" t="s">
        <v>112</v>
      </c>
      <c r="C157" s="2"/>
      <c r="D157" s="2"/>
      <c r="E157" s="2"/>
      <c r="F157" s="2"/>
      <c r="G157" s="2"/>
      <c r="H157" s="2"/>
      <c r="I157" s="2"/>
      <c r="J157" s="3"/>
      <c r="L157" s="9"/>
      <c r="M157" s="9"/>
      <c r="N157" s="9"/>
    </row>
    <row r="158" spans="1:14" hidden="1">
      <c r="A158" s="3"/>
      <c r="B158" s="85"/>
      <c r="C158" s="109" t="s">
        <v>35</v>
      </c>
      <c r="D158" s="86">
        <f>B158/5</f>
        <v>0</v>
      </c>
      <c r="E158" s="2"/>
      <c r="F158" s="2"/>
      <c r="G158" s="2"/>
      <c r="H158" s="2"/>
      <c r="I158" s="2"/>
      <c r="J158" s="3"/>
      <c r="L158" s="9"/>
      <c r="M158" s="9"/>
      <c r="N158" s="9"/>
    </row>
    <row r="159" spans="1:14" hidden="1">
      <c r="A159" s="3"/>
      <c r="B159" s="2"/>
      <c r="C159" s="2"/>
      <c r="D159" s="2"/>
      <c r="E159" s="2"/>
      <c r="F159" s="2"/>
      <c r="G159" s="2"/>
      <c r="H159" s="2"/>
      <c r="I159" s="2"/>
      <c r="J159" s="3"/>
      <c r="L159" s="9"/>
      <c r="M159" s="9"/>
      <c r="N159" s="9"/>
    </row>
    <row r="160" spans="1:14" hidden="1">
      <c r="A160" s="3"/>
      <c r="B160" s="2"/>
      <c r="C160" s="2"/>
      <c r="D160" s="2"/>
      <c r="E160" s="2"/>
      <c r="F160" s="2"/>
      <c r="G160" s="2"/>
      <c r="H160" s="2"/>
      <c r="I160" s="2"/>
      <c r="J160" s="3"/>
      <c r="L160" s="9"/>
      <c r="M160" s="9"/>
      <c r="N160" s="9"/>
    </row>
    <row r="161" spans="1:14" ht="15.75" hidden="1" thickBot="1">
      <c r="A161" s="3"/>
      <c r="B161" s="4"/>
      <c r="C161" s="5"/>
      <c r="D161" s="5"/>
      <c r="E161" s="5"/>
      <c r="F161" s="5"/>
      <c r="G161" s="5"/>
      <c r="H161" s="5"/>
      <c r="I161" s="5"/>
      <c r="J161" s="6"/>
      <c r="L161" s="9"/>
      <c r="M161" s="9"/>
      <c r="N161" s="9"/>
    </row>
    <row r="162" spans="1:14" ht="15.75" hidden="1" thickTop="1">
      <c r="B162" s="2"/>
      <c r="C162" s="2"/>
      <c r="D162" s="2"/>
      <c r="E162" s="2"/>
      <c r="F162" s="2"/>
      <c r="G162" s="2"/>
      <c r="H162" s="2"/>
      <c r="I162" s="2"/>
      <c r="J162" s="3"/>
      <c r="L162" s="9"/>
      <c r="M162" s="9"/>
      <c r="N162" s="9"/>
    </row>
    <row r="163" spans="1:14" hidden="1">
      <c r="B163" s="2"/>
      <c r="C163" s="2"/>
      <c r="D163" s="2"/>
      <c r="E163" s="2"/>
      <c r="F163" s="2"/>
      <c r="G163" s="2"/>
      <c r="H163" s="2"/>
      <c r="I163" s="2"/>
      <c r="J163" s="3"/>
      <c r="L163" s="9"/>
      <c r="M163" s="9"/>
      <c r="N163" s="9"/>
    </row>
    <row r="164" spans="1:14" hidden="1">
      <c r="B164" s="2"/>
      <c r="C164" s="2"/>
      <c r="D164" s="2"/>
      <c r="E164" s="2"/>
      <c r="F164" s="2"/>
      <c r="G164" s="2"/>
      <c r="H164" s="2"/>
      <c r="I164" s="2"/>
      <c r="J164" s="3"/>
      <c r="L164" s="9"/>
      <c r="M164" s="9"/>
      <c r="N164" s="9"/>
    </row>
    <row r="165" spans="1:14" hidden="1">
      <c r="J165" s="3"/>
      <c r="L165" s="9"/>
      <c r="M165" s="9"/>
      <c r="N165" s="9"/>
    </row>
    <row r="166" spans="1:14" hidden="1">
      <c r="J166" s="3"/>
      <c r="L166" s="9"/>
      <c r="M166" s="9"/>
      <c r="N166" s="9"/>
    </row>
    <row r="167" spans="1:14" hidden="1">
      <c r="J167" s="3"/>
      <c r="L167" s="9"/>
      <c r="M167" s="9"/>
      <c r="N167" s="9"/>
    </row>
    <row r="168" spans="1:14" hidden="1">
      <c r="J168" s="3"/>
      <c r="L168" s="9"/>
      <c r="M168" s="9"/>
      <c r="N168" s="9"/>
    </row>
    <row r="169" spans="1:14" hidden="1">
      <c r="J169" s="3"/>
      <c r="L169" s="9"/>
      <c r="M169" s="9"/>
      <c r="N169" s="9"/>
    </row>
    <row r="170" spans="1:14" hidden="1">
      <c r="J170" s="3"/>
      <c r="L170" s="9"/>
      <c r="M170" s="9"/>
      <c r="N170" s="9"/>
    </row>
    <row r="171" spans="1:14" ht="15.75" hidden="1" thickTop="1">
      <c r="A171" s="3"/>
      <c r="J171" s="3"/>
      <c r="L171" s="9"/>
      <c r="M171" s="9"/>
      <c r="N171" s="9"/>
    </row>
    <row r="172" spans="1:14" hidden="1">
      <c r="A172" s="3"/>
      <c r="B172" s="8" t="s">
        <v>32</v>
      </c>
      <c r="J172" s="3"/>
      <c r="L172" s="9"/>
      <c r="M172" s="9"/>
      <c r="N172" s="9"/>
    </row>
    <row r="173" spans="1:14" hidden="1">
      <c r="A173" s="3"/>
      <c r="J173" s="3"/>
      <c r="L173" s="9"/>
      <c r="M173" s="9"/>
      <c r="N173" s="9"/>
    </row>
    <row r="174" spans="1:14" hidden="1">
      <c r="A174" s="3"/>
      <c r="B174" s="8" t="s">
        <v>39</v>
      </c>
      <c r="J174" s="3"/>
      <c r="L174" s="9"/>
      <c r="M174" s="9"/>
      <c r="N174" s="9"/>
    </row>
    <row r="175" spans="1:14" hidden="1">
      <c r="A175" s="3"/>
      <c r="B175" s="94"/>
      <c r="C175" s="105" t="s">
        <v>35</v>
      </c>
      <c r="D175" s="93">
        <f>B175*1093.61</f>
        <v>0</v>
      </c>
      <c r="J175" s="3"/>
      <c r="L175" s="9"/>
      <c r="M175" s="9"/>
      <c r="N175" s="9"/>
    </row>
    <row r="176" spans="1:14" hidden="1">
      <c r="A176" s="3"/>
      <c r="J176" s="3"/>
      <c r="L176" s="9"/>
      <c r="M176" s="9"/>
      <c r="N176" s="9"/>
    </row>
    <row r="177" spans="1:14" hidden="1">
      <c r="A177" s="3"/>
      <c r="B177" s="106" t="s">
        <v>40</v>
      </c>
      <c r="J177" s="3"/>
      <c r="L177" s="9"/>
      <c r="M177" s="9"/>
      <c r="N177" s="9"/>
    </row>
    <row r="178" spans="1:14" hidden="1">
      <c r="A178" s="3"/>
      <c r="B178" s="94"/>
      <c r="C178" s="105" t="s">
        <v>35</v>
      </c>
      <c r="D178" s="93">
        <f>B178/1093.61</f>
        <v>0</v>
      </c>
      <c r="J178" s="3"/>
      <c r="L178" s="9"/>
      <c r="M178" s="9"/>
      <c r="N178" s="9"/>
    </row>
    <row r="179" spans="1:14" hidden="1">
      <c r="A179" s="3"/>
      <c r="J179" s="3"/>
      <c r="L179" s="9"/>
      <c r="M179" s="9"/>
      <c r="N179" s="9"/>
    </row>
    <row r="180" spans="1:14" hidden="1">
      <c r="A180" s="3"/>
      <c r="B180" s="106" t="s">
        <v>132</v>
      </c>
      <c r="J180" s="3"/>
      <c r="L180" s="9"/>
      <c r="M180" s="9"/>
      <c r="N180" s="9"/>
    </row>
    <row r="181" spans="1:14" hidden="1">
      <c r="A181" s="3"/>
      <c r="B181" s="94"/>
      <c r="C181" s="105" t="s">
        <v>35</v>
      </c>
      <c r="D181" s="93">
        <f>B181*2.54</f>
        <v>0</v>
      </c>
      <c r="J181" s="3"/>
      <c r="L181" s="9"/>
      <c r="M181" s="9"/>
      <c r="N181" s="9"/>
    </row>
    <row r="182" spans="1:14" hidden="1">
      <c r="A182" s="3"/>
      <c r="J182" s="3"/>
      <c r="L182" s="9"/>
      <c r="M182" s="9"/>
      <c r="N182" s="9"/>
    </row>
    <row r="183" spans="1:14" hidden="1">
      <c r="A183" s="3"/>
      <c r="B183" s="106" t="s">
        <v>131</v>
      </c>
      <c r="J183" s="3"/>
      <c r="L183" s="9"/>
      <c r="M183" s="9"/>
      <c r="N183" s="9"/>
    </row>
    <row r="184" spans="1:14" hidden="1">
      <c r="A184" s="3"/>
      <c r="B184" s="94"/>
      <c r="C184" s="105" t="s">
        <v>35</v>
      </c>
      <c r="D184" s="93">
        <f>B184/2.54</f>
        <v>0</v>
      </c>
      <c r="J184" s="3"/>
      <c r="L184" s="9"/>
      <c r="M184" s="9"/>
      <c r="N184" s="9"/>
    </row>
    <row r="185" spans="1:14" hidden="1">
      <c r="A185" s="3"/>
      <c r="J185" s="3"/>
      <c r="L185" s="9"/>
      <c r="M185" s="9"/>
      <c r="N185" s="9"/>
    </row>
    <row r="186" spans="1:14" hidden="1">
      <c r="A186" s="3"/>
      <c r="B186" s="106" t="s">
        <v>130</v>
      </c>
      <c r="J186" s="3"/>
      <c r="L186" s="9"/>
      <c r="M186" s="9"/>
      <c r="N186" s="9"/>
    </row>
    <row r="187" spans="1:14" hidden="1">
      <c r="A187" s="3"/>
      <c r="B187" s="94"/>
      <c r="C187" s="105" t="s">
        <v>35</v>
      </c>
      <c r="D187" s="93">
        <f>B187*1760</f>
        <v>0</v>
      </c>
      <c r="J187" s="3"/>
      <c r="L187" s="9"/>
      <c r="M187" s="9"/>
      <c r="N187" s="9"/>
    </row>
    <row r="188" spans="1:14" hidden="1">
      <c r="A188" s="3"/>
      <c r="J188" s="3"/>
      <c r="L188" s="9"/>
      <c r="M188" s="9"/>
      <c r="N188" s="9"/>
    </row>
    <row r="189" spans="1:14" hidden="1">
      <c r="A189" s="3"/>
      <c r="B189" s="107" t="s">
        <v>129</v>
      </c>
      <c r="C189" s="2"/>
      <c r="D189" s="2"/>
      <c r="E189" s="2"/>
      <c r="F189" s="2"/>
      <c r="G189" s="2"/>
      <c r="H189" s="2"/>
      <c r="I189" s="2"/>
      <c r="J189" s="3"/>
      <c r="L189" s="9"/>
      <c r="M189" s="9"/>
      <c r="N189" s="9"/>
    </row>
    <row r="190" spans="1:14" hidden="1">
      <c r="A190" s="3"/>
      <c r="B190" s="85"/>
      <c r="C190" s="105" t="s">
        <v>35</v>
      </c>
      <c r="D190" s="93">
        <f>B190/1760</f>
        <v>0</v>
      </c>
      <c r="J190" s="3"/>
      <c r="L190" s="9"/>
      <c r="M190" s="9"/>
      <c r="N190" s="9"/>
    </row>
    <row r="191" spans="1:14" ht="15.75" hidden="1" thickTop="1">
      <c r="A191" s="3"/>
      <c r="J191" s="3"/>
      <c r="L191" s="9"/>
      <c r="M191" s="9"/>
      <c r="N191" s="9"/>
    </row>
    <row r="192" spans="1:14" hidden="1">
      <c r="A192" s="3"/>
      <c r="J192" s="3"/>
      <c r="L192" s="9"/>
      <c r="M192" s="9"/>
      <c r="N192" s="9"/>
    </row>
    <row r="193" spans="1:14" hidden="1">
      <c r="A193" s="3"/>
      <c r="J193" s="3"/>
      <c r="L193" s="9"/>
      <c r="M193" s="9"/>
      <c r="N193" s="9"/>
    </row>
    <row r="194" spans="1:14" ht="15.75" hidden="1" thickBot="1">
      <c r="A194" s="3"/>
      <c r="B194" s="4"/>
      <c r="C194" s="5"/>
      <c r="D194" s="5"/>
      <c r="E194" s="5"/>
      <c r="F194" s="5"/>
      <c r="G194" s="5"/>
      <c r="H194" s="5"/>
      <c r="I194" s="5"/>
      <c r="J194" s="6"/>
      <c r="L194" s="9"/>
      <c r="M194" s="9"/>
      <c r="N194" s="9"/>
    </row>
    <row r="195" spans="1:14" ht="15.75" hidden="1" thickTop="1">
      <c r="J195" s="3"/>
      <c r="L195" s="9"/>
      <c r="M195" s="9"/>
      <c r="N195" s="9"/>
    </row>
    <row r="196" spans="1:14" ht="15.75" hidden="1" thickTop="1">
      <c r="B196" s="108" t="s">
        <v>50</v>
      </c>
      <c r="C196" s="73"/>
      <c r="D196" s="73"/>
      <c r="E196" s="73"/>
      <c r="F196" s="73"/>
      <c r="G196" s="73"/>
      <c r="H196" s="73"/>
      <c r="I196" s="73"/>
      <c r="J196" s="74"/>
      <c r="L196" s="9"/>
      <c r="M196" s="9"/>
      <c r="N196" s="9"/>
    </row>
    <row r="197" spans="1:14" hidden="1">
      <c r="B197" s="1"/>
      <c r="C197" s="2"/>
      <c r="D197" s="2"/>
      <c r="E197" s="2"/>
      <c r="F197" s="2"/>
      <c r="G197" s="2"/>
      <c r="H197" s="2"/>
      <c r="I197" s="2"/>
      <c r="J197" s="3"/>
      <c r="L197" s="9"/>
      <c r="M197" s="9"/>
      <c r="N197" s="9"/>
    </row>
    <row r="198" spans="1:14" hidden="1">
      <c r="B198" s="103" t="s">
        <v>118</v>
      </c>
      <c r="C198" s="2"/>
      <c r="D198" s="2"/>
      <c r="E198" s="2"/>
      <c r="F198" s="2"/>
      <c r="G198" s="2"/>
      <c r="H198" s="2"/>
      <c r="I198" s="2"/>
      <c r="J198" s="3"/>
      <c r="L198" s="9"/>
      <c r="M198" s="9"/>
      <c r="N198" s="9"/>
    </row>
    <row r="199" spans="1:14" hidden="1">
      <c r="B199" s="104"/>
      <c r="C199" s="109" t="s">
        <v>35</v>
      </c>
      <c r="D199" s="86">
        <f>(B199*1)+273.15</f>
        <v>273.14999999999998</v>
      </c>
      <c r="E199" s="110"/>
      <c r="F199" s="2"/>
      <c r="G199" s="2"/>
      <c r="H199" s="2"/>
      <c r="I199" s="2"/>
      <c r="J199" s="3"/>
      <c r="L199" s="9"/>
      <c r="M199" s="9"/>
      <c r="N199" s="9"/>
    </row>
    <row r="200" spans="1:14" hidden="1">
      <c r="B200" s="1"/>
      <c r="C200" s="2"/>
      <c r="D200" s="2"/>
      <c r="E200" s="2"/>
      <c r="F200" s="2"/>
      <c r="G200" s="2"/>
      <c r="H200" s="2"/>
      <c r="I200" s="2"/>
      <c r="J200" s="3"/>
      <c r="L200" s="9"/>
      <c r="M200" s="9"/>
      <c r="N200" s="9"/>
    </row>
    <row r="201" spans="1:14" hidden="1">
      <c r="B201" s="103" t="s">
        <v>117</v>
      </c>
      <c r="C201" s="2"/>
      <c r="D201" s="2"/>
      <c r="E201" s="2"/>
      <c r="F201" s="2"/>
      <c r="G201" s="2"/>
      <c r="H201" s="2"/>
      <c r="I201" s="2"/>
      <c r="J201" s="3"/>
      <c r="L201" s="9"/>
      <c r="M201" s="9"/>
      <c r="N201" s="9"/>
    </row>
    <row r="202" spans="1:14" hidden="1">
      <c r="B202" s="104"/>
      <c r="C202" s="109" t="s">
        <v>35</v>
      </c>
      <c r="D202" s="86">
        <f>B202-273.15</f>
        <v>-273.14999999999998</v>
      </c>
      <c r="E202" s="2"/>
      <c r="F202" s="2"/>
      <c r="G202" s="2"/>
      <c r="H202" s="2"/>
      <c r="I202" s="2"/>
      <c r="J202" s="3"/>
      <c r="L202" s="9"/>
      <c r="M202" s="9"/>
      <c r="N202" s="9"/>
    </row>
    <row r="203" spans="1:14" hidden="1">
      <c r="B203" s="1"/>
      <c r="C203" s="2"/>
      <c r="D203" s="2"/>
      <c r="E203" s="2"/>
      <c r="F203" s="2" t="s">
        <v>127</v>
      </c>
      <c r="G203" s="2"/>
      <c r="H203" s="2"/>
      <c r="I203" s="2"/>
      <c r="J203" s="3"/>
      <c r="L203" s="9"/>
      <c r="M203" s="9"/>
      <c r="N203" s="9"/>
    </row>
    <row r="204" spans="1:14" hidden="1">
      <c r="B204" s="103" t="s">
        <v>116</v>
      </c>
      <c r="C204" s="2"/>
      <c r="D204" s="2"/>
      <c r="E204" s="2"/>
      <c r="F204" s="2" t="s">
        <v>128</v>
      </c>
      <c r="G204" s="2"/>
      <c r="H204" s="2"/>
      <c r="I204" s="2"/>
      <c r="J204" s="3"/>
      <c r="L204" s="9"/>
      <c r="M204" s="9"/>
      <c r="N204" s="9"/>
    </row>
    <row r="205" spans="1:14" hidden="1">
      <c r="B205" s="104"/>
      <c r="C205" s="109" t="s">
        <v>35</v>
      </c>
      <c r="D205" s="86">
        <f>(B205*9/5)+32</f>
        <v>32</v>
      </c>
      <c r="E205" s="2"/>
      <c r="F205" s="2"/>
      <c r="G205" s="2"/>
      <c r="H205" s="2"/>
      <c r="I205" s="2"/>
      <c r="J205" s="3"/>
      <c r="L205" s="9"/>
      <c r="M205" s="9"/>
      <c r="N205" s="9"/>
    </row>
    <row r="206" spans="1:14" hidden="1">
      <c r="B206" s="1"/>
      <c r="C206" s="2"/>
      <c r="D206" s="2"/>
      <c r="E206" s="2"/>
      <c r="F206" s="2"/>
      <c r="G206" s="2"/>
      <c r="H206" s="2"/>
      <c r="I206" s="2"/>
      <c r="J206" s="3"/>
      <c r="L206" s="9"/>
      <c r="M206" s="9"/>
      <c r="N206" s="9"/>
    </row>
    <row r="207" spans="1:14" hidden="1">
      <c r="B207" s="103" t="s">
        <v>115</v>
      </c>
      <c r="C207" s="2"/>
      <c r="D207" s="2"/>
      <c r="E207" s="2"/>
      <c r="F207" s="2"/>
      <c r="G207" s="2"/>
      <c r="H207" s="2"/>
      <c r="I207" s="2"/>
      <c r="J207" s="3"/>
      <c r="L207" s="9"/>
      <c r="M207" s="9"/>
      <c r="N207" s="9"/>
    </row>
    <row r="208" spans="1:14" hidden="1">
      <c r="B208" s="104"/>
      <c r="C208" s="109" t="s">
        <v>35</v>
      </c>
      <c r="D208" s="86">
        <f>(B208-32)*5/9</f>
        <v>-17.777777777777779</v>
      </c>
      <c r="E208" s="2"/>
      <c r="F208" s="2"/>
      <c r="G208" s="2"/>
      <c r="H208" s="2"/>
      <c r="I208" s="2"/>
      <c r="J208" s="3"/>
      <c r="L208" s="9"/>
      <c r="M208" s="9"/>
      <c r="N208" s="9"/>
    </row>
    <row r="209" spans="2:14" hidden="1">
      <c r="B209" s="1"/>
      <c r="C209" s="2"/>
      <c r="D209" s="2"/>
      <c r="E209" s="2"/>
      <c r="F209" s="2"/>
      <c r="G209" s="2"/>
      <c r="H209" s="2"/>
      <c r="I209" s="2"/>
      <c r="J209" s="3"/>
      <c r="L209" s="9"/>
      <c r="M209" s="9"/>
      <c r="N209" s="9"/>
    </row>
    <row r="210" spans="2:14" hidden="1">
      <c r="B210" s="103" t="s">
        <v>114</v>
      </c>
      <c r="C210" s="2"/>
      <c r="D210" s="2"/>
      <c r="E210" s="2"/>
      <c r="F210" s="2"/>
      <c r="G210" s="2"/>
      <c r="H210" s="2"/>
      <c r="I210" s="2"/>
      <c r="J210" s="3"/>
      <c r="L210" s="9"/>
      <c r="M210" s="9"/>
      <c r="N210" s="9"/>
    </row>
    <row r="211" spans="2:14" hidden="1">
      <c r="B211" s="104"/>
      <c r="C211" s="109" t="s">
        <v>35</v>
      </c>
      <c r="D211" s="86">
        <f>(B211-273.15)*9/5+32</f>
        <v>-459.66999999999996</v>
      </c>
      <c r="E211" s="2"/>
      <c r="F211" s="2"/>
      <c r="G211" s="2"/>
      <c r="H211" s="2"/>
      <c r="I211" s="2"/>
      <c r="J211" s="3"/>
      <c r="L211" s="9"/>
      <c r="M211" s="9"/>
      <c r="N211" s="9"/>
    </row>
    <row r="212" spans="2:14" hidden="1">
      <c r="B212" s="1"/>
      <c r="C212" s="2"/>
      <c r="D212" s="2"/>
      <c r="E212" s="2"/>
      <c r="F212" s="2"/>
      <c r="G212" s="2"/>
      <c r="H212" s="2"/>
      <c r="I212" s="2"/>
      <c r="J212" s="3"/>
      <c r="L212" s="9"/>
      <c r="M212" s="9"/>
      <c r="N212" s="9"/>
    </row>
    <row r="213" spans="2:14" hidden="1">
      <c r="B213" s="103" t="s">
        <v>113</v>
      </c>
      <c r="C213" s="2"/>
      <c r="D213" s="2"/>
      <c r="E213" s="2"/>
      <c r="F213" s="2"/>
      <c r="G213" s="2"/>
      <c r="H213" s="2"/>
      <c r="I213" s="2"/>
      <c r="J213" s="3"/>
      <c r="L213" s="9"/>
      <c r="M213" s="9"/>
      <c r="N213" s="9"/>
    </row>
    <row r="214" spans="2:14" hidden="1">
      <c r="B214" s="104"/>
      <c r="C214" s="109" t="s">
        <v>35</v>
      </c>
      <c r="D214" s="86">
        <f xml:space="preserve"> (B214-32)*5/9+273.15</f>
        <v>255.37222222222221</v>
      </c>
      <c r="E214" s="2"/>
      <c r="F214" s="2"/>
      <c r="G214" s="2"/>
      <c r="H214" s="2"/>
      <c r="I214" s="2"/>
      <c r="J214" s="3"/>
      <c r="L214" s="9"/>
      <c r="M214" s="9"/>
      <c r="N214" s="9"/>
    </row>
    <row r="215" spans="2:14" hidden="1">
      <c r="B215" s="1"/>
      <c r="C215" s="2"/>
      <c r="D215" s="2"/>
      <c r="E215" s="2"/>
      <c r="F215" s="2"/>
      <c r="G215" s="2"/>
      <c r="H215" s="2"/>
      <c r="I215" s="2"/>
      <c r="J215" s="3"/>
      <c r="L215" s="9"/>
      <c r="M215" s="9"/>
      <c r="N215" s="9"/>
    </row>
    <row r="216" spans="2:14" hidden="1">
      <c r="B216" s="1"/>
      <c r="C216" s="2"/>
      <c r="D216" s="2"/>
      <c r="E216" s="2"/>
      <c r="F216" s="2"/>
      <c r="G216" s="2"/>
      <c r="H216" s="2"/>
      <c r="I216" s="2"/>
      <c r="J216" s="3"/>
      <c r="L216" s="9"/>
      <c r="M216" s="9"/>
      <c r="N216" s="9"/>
    </row>
    <row r="217" spans="2:14" ht="15.75" hidden="1" thickBot="1">
      <c r="B217" s="4"/>
      <c r="C217" s="5"/>
      <c r="D217" s="5"/>
      <c r="E217" s="5"/>
      <c r="F217" s="5"/>
      <c r="G217" s="5"/>
      <c r="H217" s="5"/>
      <c r="I217" s="5"/>
      <c r="J217" s="6"/>
      <c r="L217" s="9"/>
      <c r="M217" s="9"/>
      <c r="N217" s="9"/>
    </row>
    <row r="218" spans="2:14" ht="16.5" hidden="1" thickTop="1" thickBot="1">
      <c r="J218" s="3"/>
      <c r="L218" s="9"/>
      <c r="M218" s="9"/>
      <c r="N218" s="9"/>
    </row>
    <row r="219" spans="2:14" ht="15.75" hidden="1" thickTop="1">
      <c r="B219" s="98" t="s">
        <v>76</v>
      </c>
      <c r="C219" s="73"/>
      <c r="D219" s="73"/>
      <c r="E219" s="73"/>
      <c r="F219" s="73"/>
      <c r="G219" s="73"/>
      <c r="H219" s="73"/>
      <c r="I219" s="73"/>
      <c r="J219" s="74"/>
      <c r="L219" s="9"/>
      <c r="M219" s="9"/>
      <c r="N219" s="9"/>
    </row>
    <row r="220" spans="2:14" hidden="1">
      <c r="B220" s="1"/>
      <c r="C220" s="2"/>
      <c r="D220" s="2"/>
      <c r="E220" s="2"/>
      <c r="F220" s="2"/>
      <c r="G220" s="2"/>
      <c r="H220" s="2"/>
      <c r="I220" s="2"/>
      <c r="J220" s="3"/>
      <c r="L220" s="9"/>
      <c r="M220" s="9"/>
      <c r="N220" s="9"/>
    </row>
    <row r="221" spans="2:14" hidden="1">
      <c r="B221" s="103" t="s">
        <v>119</v>
      </c>
      <c r="C221" s="2"/>
      <c r="D221" s="2"/>
      <c r="E221" s="2"/>
      <c r="F221" s="2"/>
      <c r="G221" s="2"/>
      <c r="H221" s="2"/>
      <c r="I221" s="2"/>
      <c r="J221" s="3"/>
      <c r="L221" s="9"/>
      <c r="M221" s="9"/>
      <c r="N221" s="9"/>
    </row>
    <row r="222" spans="2:14" hidden="1">
      <c r="B222" s="104"/>
      <c r="C222" s="109" t="s">
        <v>35</v>
      </c>
      <c r="D222" s="86">
        <f>B222*1440</f>
        <v>0</v>
      </c>
      <c r="E222" s="2"/>
      <c r="F222" s="2"/>
      <c r="G222" s="2"/>
      <c r="H222" s="2"/>
      <c r="I222" s="2"/>
      <c r="J222" s="3"/>
      <c r="L222" s="9"/>
      <c r="M222" s="9"/>
      <c r="N222" s="9"/>
    </row>
    <row r="223" spans="2:14" hidden="1">
      <c r="B223" s="1"/>
      <c r="C223" s="2"/>
      <c r="D223" s="2"/>
      <c r="E223" s="2"/>
      <c r="F223" s="2"/>
      <c r="G223" s="2"/>
      <c r="H223" s="2"/>
      <c r="I223" s="2"/>
      <c r="J223" s="3"/>
      <c r="L223" s="9"/>
      <c r="M223" s="9"/>
      <c r="N223" s="9"/>
    </row>
    <row r="224" spans="2:14" hidden="1">
      <c r="B224" s="103" t="s">
        <v>120</v>
      </c>
      <c r="C224" s="2"/>
      <c r="D224" s="2"/>
      <c r="E224" s="2"/>
      <c r="F224" s="2"/>
      <c r="G224" s="2"/>
      <c r="H224" s="2"/>
      <c r="I224" s="2"/>
      <c r="J224" s="3"/>
      <c r="L224" s="9"/>
      <c r="M224" s="9"/>
      <c r="N224" s="9"/>
    </row>
    <row r="225" spans="2:14" hidden="1">
      <c r="B225" s="104"/>
      <c r="C225" s="109" t="s">
        <v>35</v>
      </c>
      <c r="D225" s="86">
        <f>B225*10080</f>
        <v>0</v>
      </c>
      <c r="E225" s="2"/>
      <c r="F225" s="2"/>
      <c r="G225" s="2"/>
      <c r="H225" s="2"/>
      <c r="I225" s="2"/>
      <c r="J225" s="3"/>
      <c r="L225" s="9"/>
      <c r="M225" s="9"/>
      <c r="N225" s="9"/>
    </row>
    <row r="226" spans="2:14" hidden="1">
      <c r="B226" s="1"/>
      <c r="C226" s="2"/>
      <c r="D226" s="2"/>
      <c r="E226" s="2"/>
      <c r="F226" s="2"/>
      <c r="G226" s="2"/>
      <c r="H226" s="2"/>
      <c r="I226" s="2"/>
      <c r="J226" s="3"/>
      <c r="L226" s="9"/>
      <c r="M226" s="9"/>
      <c r="N226" s="9"/>
    </row>
    <row r="227" spans="2:14" hidden="1">
      <c r="B227" s="103" t="s">
        <v>121</v>
      </c>
      <c r="C227" s="2"/>
      <c r="D227" s="2"/>
      <c r="E227" s="2"/>
      <c r="F227" s="2"/>
      <c r="G227" s="2"/>
      <c r="H227" s="2"/>
      <c r="I227" s="2"/>
      <c r="J227" s="3"/>
      <c r="L227" s="9"/>
      <c r="M227" s="9"/>
      <c r="N227" s="9"/>
    </row>
    <row r="228" spans="2:14" hidden="1">
      <c r="B228" s="104"/>
      <c r="C228" s="109" t="s">
        <v>35</v>
      </c>
      <c r="D228" s="86">
        <f>B228*3600</f>
        <v>0</v>
      </c>
      <c r="E228" s="2"/>
      <c r="F228" s="2"/>
      <c r="G228" s="2"/>
      <c r="H228" s="2"/>
      <c r="I228" s="2"/>
      <c r="J228" s="3"/>
      <c r="L228" s="9"/>
      <c r="M228" s="9"/>
      <c r="N228" s="9"/>
    </row>
    <row r="229" spans="2:14" hidden="1">
      <c r="B229" s="1"/>
      <c r="C229" s="2"/>
      <c r="D229" s="2"/>
      <c r="E229" s="2"/>
      <c r="F229" s="2"/>
      <c r="G229" s="2"/>
      <c r="H229" s="2"/>
      <c r="I229" s="2"/>
      <c r="J229" s="3"/>
      <c r="L229" s="9"/>
      <c r="M229" s="9"/>
      <c r="N229" s="9"/>
    </row>
    <row r="230" spans="2:14" hidden="1">
      <c r="B230" s="103" t="s">
        <v>122</v>
      </c>
      <c r="C230" s="2"/>
      <c r="D230" s="2"/>
      <c r="E230" s="2"/>
      <c r="F230" s="2"/>
      <c r="G230" s="2"/>
      <c r="H230" s="2"/>
      <c r="I230" s="2"/>
      <c r="J230" s="3"/>
      <c r="L230" s="9"/>
      <c r="M230" s="9"/>
      <c r="N230" s="9"/>
    </row>
    <row r="231" spans="2:14" hidden="1">
      <c r="B231" s="104"/>
      <c r="C231" s="109" t="s">
        <v>35</v>
      </c>
      <c r="D231" s="86">
        <f>B231*168</f>
        <v>0</v>
      </c>
      <c r="E231" s="2"/>
      <c r="F231" s="2"/>
      <c r="G231" s="2"/>
      <c r="H231" s="2"/>
      <c r="I231" s="2"/>
      <c r="J231" s="3"/>
      <c r="L231" s="9"/>
      <c r="M231" s="9"/>
      <c r="N231" s="9"/>
    </row>
    <row r="232" spans="2:14" hidden="1">
      <c r="B232" s="1"/>
      <c r="C232" s="2"/>
      <c r="D232" s="2"/>
      <c r="E232" s="2"/>
      <c r="F232" s="2"/>
      <c r="G232" s="2"/>
      <c r="H232" s="2"/>
      <c r="I232" s="2"/>
      <c r="J232" s="3"/>
      <c r="L232" s="9"/>
      <c r="M232" s="9"/>
      <c r="N232" s="9"/>
    </row>
    <row r="233" spans="2:14" hidden="1">
      <c r="B233" s="103" t="s">
        <v>123</v>
      </c>
      <c r="C233" s="2"/>
      <c r="D233" s="2"/>
      <c r="E233" s="2"/>
      <c r="F233" s="2"/>
      <c r="G233" s="2"/>
      <c r="H233" s="2"/>
      <c r="I233" s="2"/>
      <c r="J233" s="3"/>
      <c r="L233" s="9"/>
      <c r="M233" s="9"/>
      <c r="N233" s="9"/>
    </row>
    <row r="234" spans="2:14" hidden="1">
      <c r="B234" s="104"/>
      <c r="C234" s="109" t="s">
        <v>35</v>
      </c>
      <c r="D234" s="86">
        <f>B234*730</f>
        <v>0</v>
      </c>
      <c r="E234" s="2"/>
      <c r="F234" s="2"/>
      <c r="G234" s="2"/>
      <c r="H234" s="2"/>
      <c r="I234" s="2"/>
      <c r="J234" s="3"/>
      <c r="L234" s="9"/>
      <c r="M234" s="9"/>
      <c r="N234" s="9"/>
    </row>
    <row r="235" spans="2:14" hidden="1">
      <c r="B235" s="1"/>
      <c r="C235" s="2"/>
      <c r="D235" s="2"/>
      <c r="E235" s="2"/>
      <c r="F235" s="2"/>
      <c r="G235" s="2"/>
      <c r="H235" s="2"/>
      <c r="I235" s="2"/>
      <c r="J235" s="3"/>
      <c r="L235" s="9"/>
      <c r="M235" s="9"/>
      <c r="N235" s="9"/>
    </row>
    <row r="236" spans="2:14" ht="15.75" hidden="1" thickBot="1">
      <c r="B236" s="4"/>
      <c r="C236" s="5"/>
      <c r="D236" s="5"/>
      <c r="E236" s="5"/>
      <c r="F236" s="5"/>
      <c r="G236" s="5"/>
      <c r="H236" s="5"/>
      <c r="I236" s="5"/>
      <c r="J236" s="6"/>
      <c r="L236" s="9"/>
      <c r="M236" s="9"/>
      <c r="N236" s="9"/>
    </row>
    <row r="237" spans="2:14" ht="16.5" hidden="1" thickTop="1" thickBot="1">
      <c r="J237" s="3"/>
    </row>
    <row r="238" spans="2:14" ht="15.75" hidden="1" thickTop="1">
      <c r="B238" s="98" t="s">
        <v>99</v>
      </c>
      <c r="C238" s="73"/>
      <c r="D238" s="73"/>
      <c r="E238" s="73"/>
      <c r="F238" s="73"/>
      <c r="G238" s="73"/>
      <c r="H238" s="73"/>
      <c r="I238" s="73"/>
      <c r="J238" s="74"/>
    </row>
    <row r="239" spans="2:14" hidden="1">
      <c r="B239" s="1"/>
      <c r="C239" s="2"/>
      <c r="D239" s="2"/>
      <c r="E239" s="2"/>
      <c r="F239" s="2"/>
      <c r="G239" s="2"/>
      <c r="H239" s="2"/>
      <c r="I239" s="2"/>
      <c r="J239" s="3"/>
    </row>
    <row r="240" spans="2:14" hidden="1">
      <c r="B240" s="103" t="s">
        <v>100</v>
      </c>
      <c r="C240" s="2"/>
      <c r="D240" s="2"/>
      <c r="E240" s="2"/>
      <c r="F240" s="2"/>
      <c r="G240" s="2"/>
      <c r="H240" s="2"/>
      <c r="I240" s="2"/>
      <c r="J240" s="3"/>
    </row>
    <row r="241" spans="2:10" hidden="1">
      <c r="B241" s="104">
        <v>0</v>
      </c>
      <c r="C241" s="2"/>
      <c r="D241" s="86">
        <f>B241/3.64</f>
        <v>0</v>
      </c>
      <c r="E241" s="2"/>
      <c r="F241" s="2"/>
      <c r="G241" s="2"/>
      <c r="H241" s="2"/>
      <c r="I241" s="2"/>
      <c r="J241" s="3"/>
    </row>
    <row r="242" spans="2:10" hidden="1">
      <c r="B242" s="1"/>
      <c r="C242" s="2"/>
      <c r="D242" s="2"/>
      <c r="E242" s="2"/>
      <c r="F242" s="2"/>
      <c r="G242" s="2"/>
      <c r="H242" s="2"/>
      <c r="I242" s="2"/>
      <c r="J242" s="3"/>
    </row>
    <row r="243" spans="2:10" hidden="1">
      <c r="B243" s="103" t="s">
        <v>101</v>
      </c>
      <c r="C243" s="2"/>
      <c r="D243" s="2"/>
      <c r="E243" s="2"/>
      <c r="F243" s="2"/>
      <c r="G243" s="2"/>
      <c r="H243" s="2"/>
      <c r="I243" s="2"/>
      <c r="J243" s="3"/>
    </row>
    <row r="244" spans="2:10" hidden="1">
      <c r="B244" s="104"/>
      <c r="C244" s="2"/>
      <c r="D244" s="86">
        <f>B244*3.64</f>
        <v>0</v>
      </c>
      <c r="E244" s="2"/>
      <c r="F244" s="2"/>
      <c r="G244" s="2"/>
      <c r="H244" s="2"/>
      <c r="I244" s="2"/>
      <c r="J244" s="3"/>
    </row>
    <row r="245" spans="2:10" hidden="1">
      <c r="B245" s="1"/>
      <c r="C245" s="2"/>
      <c r="D245" s="2"/>
      <c r="E245" s="2"/>
      <c r="F245" s="2"/>
      <c r="G245" s="2"/>
      <c r="H245" s="2"/>
      <c r="I245" s="2"/>
      <c r="J245" s="3"/>
    </row>
    <row r="246" spans="2:10" hidden="1">
      <c r="B246" s="103" t="s">
        <v>102</v>
      </c>
      <c r="C246" s="2"/>
      <c r="D246" s="2"/>
      <c r="E246" s="2"/>
      <c r="F246" s="2"/>
      <c r="G246" s="2"/>
      <c r="H246" s="2"/>
      <c r="I246" s="2"/>
      <c r="J246" s="3"/>
    </row>
    <row r="247" spans="2:10" hidden="1">
      <c r="B247" s="104">
        <v>19.649999999999999</v>
      </c>
      <c r="C247" s="2"/>
      <c r="D247" s="86">
        <f>B247*19.65</f>
        <v>386.12249999999995</v>
      </c>
      <c r="E247" s="2"/>
      <c r="F247" s="2"/>
      <c r="G247" s="2"/>
      <c r="H247" s="2"/>
      <c r="I247" s="2"/>
      <c r="J247" s="3"/>
    </row>
    <row r="248" spans="2:10" hidden="1">
      <c r="B248" s="1"/>
      <c r="C248" s="2"/>
      <c r="D248" s="2"/>
      <c r="E248" s="2"/>
      <c r="F248" s="2"/>
      <c r="G248" s="2"/>
      <c r="H248" s="2"/>
      <c r="I248" s="2"/>
      <c r="J248" s="3"/>
    </row>
    <row r="249" spans="2:10" hidden="1">
      <c r="B249" s="103" t="s">
        <v>103</v>
      </c>
      <c r="C249" s="2"/>
      <c r="D249" s="2"/>
      <c r="E249" s="2"/>
      <c r="F249" s="2"/>
      <c r="G249" s="2"/>
      <c r="H249" s="2"/>
      <c r="I249" s="2"/>
      <c r="J249" s="3"/>
    </row>
    <row r="250" spans="2:10" hidden="1">
      <c r="B250" s="104">
        <v>1</v>
      </c>
      <c r="C250" s="2"/>
      <c r="D250" s="86">
        <f>B250/19.65</f>
        <v>5.0890585241730284E-2</v>
      </c>
      <c r="E250" s="2"/>
      <c r="F250" s="2"/>
      <c r="G250" s="2"/>
      <c r="H250" s="2"/>
      <c r="I250" s="2"/>
      <c r="J250" s="3"/>
    </row>
    <row r="251" spans="2:10" hidden="1">
      <c r="B251" s="1"/>
      <c r="C251" s="2"/>
      <c r="D251" s="2"/>
      <c r="E251" s="2"/>
      <c r="F251" s="2"/>
      <c r="G251" s="2"/>
      <c r="H251" s="2"/>
      <c r="I251" s="2"/>
      <c r="J251" s="3"/>
    </row>
    <row r="252" spans="2:10" hidden="1">
      <c r="B252" s="103" t="s">
        <v>105</v>
      </c>
      <c r="C252" s="2"/>
      <c r="D252" s="2"/>
      <c r="E252" s="2"/>
      <c r="F252" s="2"/>
      <c r="G252" s="2"/>
      <c r="H252" s="2"/>
      <c r="I252" s="2"/>
      <c r="J252" s="3"/>
    </row>
    <row r="253" spans="2:10" hidden="1">
      <c r="B253" s="104">
        <v>5</v>
      </c>
      <c r="C253" s="2"/>
      <c r="D253" s="86">
        <f>B253/4.74</f>
        <v>1.0548523206751055</v>
      </c>
      <c r="E253" s="2"/>
      <c r="F253" s="2"/>
      <c r="G253" s="2"/>
      <c r="H253" s="2"/>
      <c r="I253" s="2"/>
      <c r="J253" s="3"/>
    </row>
    <row r="254" spans="2:10" hidden="1">
      <c r="B254" s="103"/>
      <c r="C254" s="2"/>
      <c r="D254" s="2"/>
      <c r="E254" s="2"/>
      <c r="F254" s="2"/>
      <c r="G254" s="2"/>
      <c r="H254" s="2"/>
      <c r="I254" s="2"/>
      <c r="J254" s="3"/>
    </row>
    <row r="255" spans="2:10" hidden="1">
      <c r="B255" s="103" t="s">
        <v>104</v>
      </c>
      <c r="C255" s="2"/>
      <c r="D255" s="2"/>
      <c r="E255" s="2"/>
      <c r="F255" s="2"/>
      <c r="G255" s="2"/>
      <c r="H255" s="2"/>
      <c r="I255" s="2"/>
      <c r="J255" s="3"/>
    </row>
    <row r="256" spans="2:10" hidden="1">
      <c r="B256" s="104">
        <v>1</v>
      </c>
      <c r="C256" s="2"/>
      <c r="D256" s="86">
        <f>B256*4.74</f>
        <v>4.74</v>
      </c>
      <c r="E256" s="2"/>
      <c r="F256" s="2"/>
      <c r="G256" s="2"/>
      <c r="H256" s="2"/>
      <c r="I256" s="2"/>
      <c r="J256" s="3"/>
    </row>
    <row r="257" spans="2:11" hidden="1">
      <c r="B257" s="1"/>
      <c r="C257" s="2"/>
      <c r="D257" s="2"/>
      <c r="E257" s="2"/>
      <c r="F257" s="2"/>
      <c r="G257" s="2"/>
      <c r="H257" s="2"/>
      <c r="I257" s="2"/>
      <c r="J257" s="3"/>
    </row>
    <row r="258" spans="2:11" hidden="1">
      <c r="B258" s="103" t="s">
        <v>106</v>
      </c>
      <c r="C258" s="2"/>
      <c r="D258" s="2"/>
      <c r="E258" s="2"/>
      <c r="F258" s="2"/>
      <c r="G258" s="2"/>
      <c r="H258" s="2"/>
      <c r="I258" s="2"/>
      <c r="J258" s="3"/>
    </row>
    <row r="259" spans="2:11" hidden="1">
      <c r="B259" s="104">
        <v>1</v>
      </c>
      <c r="C259" s="2"/>
      <c r="D259" s="86">
        <f>B259/71.54</f>
        <v>1.3978194017332959E-2</v>
      </c>
      <c r="E259" s="2"/>
      <c r="F259" s="2"/>
      <c r="G259" s="2"/>
      <c r="H259" s="2"/>
      <c r="I259" s="2"/>
      <c r="J259" s="3"/>
    </row>
    <row r="260" spans="2:11" hidden="1">
      <c r="B260" s="1"/>
      <c r="C260" s="2"/>
      <c r="D260" s="2"/>
      <c r="E260" s="2"/>
      <c r="F260" s="2"/>
      <c r="G260" s="2"/>
      <c r="H260" s="2"/>
      <c r="I260" s="2"/>
      <c r="J260" s="3"/>
    </row>
    <row r="261" spans="2:11" hidden="1">
      <c r="B261" s="103" t="s">
        <v>107</v>
      </c>
      <c r="C261" s="2"/>
      <c r="D261" s="2"/>
      <c r="E261" s="2"/>
      <c r="F261" s="2"/>
      <c r="G261" s="2"/>
      <c r="H261" s="2"/>
      <c r="I261" s="2"/>
      <c r="J261" s="3"/>
    </row>
    <row r="262" spans="2:11" hidden="1">
      <c r="B262" s="104">
        <v>1</v>
      </c>
      <c r="C262" s="2"/>
      <c r="D262" s="86">
        <f>B262*71.54</f>
        <v>71.540000000000006</v>
      </c>
      <c r="E262" s="2"/>
      <c r="F262" s="2"/>
      <c r="G262" s="2"/>
      <c r="H262" s="2"/>
      <c r="I262" s="2"/>
      <c r="J262" s="3"/>
    </row>
    <row r="263" spans="2:11" hidden="1">
      <c r="B263" s="1"/>
      <c r="C263" s="2"/>
      <c r="D263" s="2"/>
      <c r="E263" s="2"/>
      <c r="F263" s="2"/>
      <c r="G263" s="2"/>
      <c r="H263" s="2"/>
      <c r="I263" s="2"/>
      <c r="J263" s="3"/>
    </row>
    <row r="264" spans="2:11" hidden="1">
      <c r="B264" s="103" t="s">
        <v>108</v>
      </c>
      <c r="C264" s="2"/>
      <c r="D264" s="2"/>
      <c r="E264" s="2"/>
      <c r="F264" s="2"/>
      <c r="G264" s="2"/>
      <c r="H264" s="2"/>
      <c r="I264" s="2"/>
      <c r="J264" s="3"/>
    </row>
    <row r="265" spans="2:11" hidden="1">
      <c r="B265" s="104">
        <v>1</v>
      </c>
      <c r="C265" s="2"/>
      <c r="D265" s="86">
        <f>B265*93.13</f>
        <v>93.13</v>
      </c>
      <c r="E265" s="2"/>
      <c r="F265" s="2"/>
      <c r="G265" s="2"/>
      <c r="H265" s="2"/>
      <c r="I265" s="2"/>
      <c r="J265" s="3"/>
    </row>
    <row r="266" spans="2:11" hidden="1">
      <c r="B266" s="1"/>
      <c r="C266" s="2"/>
      <c r="D266" s="2"/>
      <c r="E266" s="2"/>
      <c r="F266" s="2"/>
      <c r="G266" s="2"/>
      <c r="H266" s="2"/>
      <c r="I266" s="2"/>
      <c r="J266" s="3"/>
    </row>
    <row r="267" spans="2:11" hidden="1">
      <c r="B267" s="103" t="s">
        <v>109</v>
      </c>
      <c r="C267" s="2"/>
      <c r="D267" s="2"/>
      <c r="E267" s="2"/>
      <c r="F267" s="2"/>
      <c r="G267" s="2"/>
      <c r="H267" s="2"/>
      <c r="I267" s="2"/>
      <c r="J267" s="3"/>
    </row>
    <row r="268" spans="2:11" hidden="1">
      <c r="B268" s="104">
        <v>1</v>
      </c>
      <c r="C268" s="2"/>
      <c r="D268" s="86">
        <f>B268/93.13</f>
        <v>1.0737678513905294E-2</v>
      </c>
      <c r="E268" s="2"/>
      <c r="F268" s="2"/>
      <c r="G268" s="2"/>
      <c r="H268" s="2"/>
      <c r="I268" s="2"/>
      <c r="J268" s="3"/>
    </row>
    <row r="269" spans="2:11" hidden="1">
      <c r="B269" s="1"/>
      <c r="C269" s="2"/>
      <c r="D269" s="2"/>
      <c r="E269" s="2"/>
      <c r="F269" s="2"/>
      <c r="G269" s="2"/>
      <c r="H269" s="2"/>
      <c r="I269" s="2"/>
      <c r="J269" s="3"/>
    </row>
    <row r="270" spans="2:11" hidden="1">
      <c r="B270" s="1"/>
      <c r="C270" s="2"/>
      <c r="D270" s="2"/>
      <c r="E270" s="2"/>
      <c r="F270" s="2"/>
      <c r="G270" s="2"/>
      <c r="H270" s="2"/>
      <c r="I270" s="2"/>
      <c r="J270" s="3"/>
    </row>
    <row r="271" spans="2:11" ht="15.75" hidden="1" thickBot="1">
      <c r="B271" s="4"/>
      <c r="C271" s="5"/>
      <c r="D271" s="5"/>
      <c r="E271" s="5"/>
      <c r="F271" s="5"/>
      <c r="G271" s="5"/>
      <c r="H271" s="5"/>
      <c r="I271" s="5"/>
      <c r="J271" s="6"/>
    </row>
    <row r="272" spans="2:11" ht="15.75" hidden="1" thickTop="1">
      <c r="K272" s="2"/>
    </row>
    <row r="273" spans="10:10" hidden="1"/>
    <row r="274" spans="10:10" hidden="1"/>
    <row r="275" spans="10:10" hidden="1"/>
    <row r="276" spans="10:10" hidden="1">
      <c r="J276" s="3"/>
    </row>
    <row r="277" spans="10:10" hidden="1">
      <c r="J277" s="3"/>
    </row>
    <row r="278" spans="10:10" hidden="1">
      <c r="J278" s="3"/>
    </row>
    <row r="279" spans="10:10" hidden="1">
      <c r="J279" s="3"/>
    </row>
    <row r="280" spans="10:10" hidden="1">
      <c r="J280" s="3"/>
    </row>
    <row r="281" spans="10:10" hidden="1">
      <c r="J281" s="3"/>
    </row>
    <row r="282" spans="10:10" hidden="1">
      <c r="J282" s="3"/>
    </row>
    <row r="283" spans="10:10" hidden="1">
      <c r="J283" s="3"/>
    </row>
    <row r="284" spans="10:10" hidden="1">
      <c r="J284" s="3"/>
    </row>
    <row r="285" spans="10:10" hidden="1">
      <c r="J285" s="3"/>
    </row>
    <row r="286" spans="10:10" hidden="1">
      <c r="J286" s="3"/>
    </row>
    <row r="287" spans="10:10" hidden="1">
      <c r="J287" s="3"/>
    </row>
    <row r="288" spans="10:10" hidden="1">
      <c r="J288" s="3"/>
    </row>
    <row r="289" spans="10:12" hidden="1">
      <c r="J289" s="3"/>
    </row>
    <row r="290" spans="10:12" hidden="1">
      <c r="J290" s="3"/>
    </row>
    <row r="291" spans="10:12" hidden="1">
      <c r="J291" s="3"/>
    </row>
    <row r="292" spans="10:12" hidden="1">
      <c r="J292" s="3"/>
    </row>
    <row r="293" spans="10:12" hidden="1">
      <c r="J293" s="3"/>
    </row>
    <row r="294" spans="10:12" hidden="1">
      <c r="J294" s="3"/>
    </row>
    <row r="295" spans="10:12" hidden="1">
      <c r="J295" s="3"/>
    </row>
    <row r="296" spans="10:12" hidden="1">
      <c r="J296" s="3"/>
    </row>
    <row r="297" spans="10:12" hidden="1">
      <c r="J297" s="3"/>
    </row>
    <row r="298" spans="10:12" hidden="1">
      <c r="J298" s="3"/>
    </row>
    <row r="299" spans="10:12" hidden="1">
      <c r="J299" s="3"/>
    </row>
    <row r="300" spans="10:12" hidden="1">
      <c r="J300" s="3"/>
    </row>
    <row r="301" spans="10:12" ht="15.75" thickTop="1">
      <c r="K301" s="2"/>
      <c r="L301" s="2"/>
    </row>
  </sheetData>
  <sheetProtection password="E91C" sheet="1" objects="1" scenarios="1" selectLockedCells="1"/>
  <protectedRanges>
    <protectedRange sqref="L4:M55" name="coments section"/>
  </protectedRanges>
  <customSheetViews>
    <customSheetView guid="{904595E5-53F2-4A39-BD2C-9E911C3751B8}" scale="170" showPageBreaks="1" showGridLines="0" printArea="1" hiddenRows="1" view="pageBreakPreview">
      <rowBreaks count="1" manualBreakCount="1">
        <brk id="155" max="10" man="1"/>
      </rowBreaks>
      <pageMargins left="0.7" right="0.7" top="0.75" bottom="0.75" header="0.3" footer="0.3"/>
      <pageSetup paperSize="9" scale="31" orientation="portrait" verticalDpi="4294967293" r:id="rId1"/>
    </customSheetView>
  </customSheetViews>
  <mergeCells count="4">
    <mergeCell ref="B2:J4"/>
    <mergeCell ref="I34:J34"/>
    <mergeCell ref="B21:C21"/>
    <mergeCell ref="A32:I32"/>
  </mergeCells>
  <pageMargins left="0.7" right="0.7" top="0.75" bottom="0.75" header="0.3" footer="0.3"/>
  <pageSetup paperSize="9" scale="29" orientation="portrait" verticalDpi="4294967293" r:id="rId2"/>
  <rowBreaks count="1" manualBreakCount="1">
    <brk id="169" max="10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view="pageBreakPreview" topLeftCell="A4" zoomScale="230" zoomScaleNormal="130" zoomScaleSheetLayoutView="230" workbookViewId="0">
      <selection activeCell="B16" sqref="B16:F16"/>
    </sheetView>
  </sheetViews>
  <sheetFormatPr defaultRowHeight="15"/>
  <cols>
    <col min="1" max="1" width="13.28515625" customWidth="1"/>
    <col min="5" max="5" width="13.42578125" customWidth="1"/>
    <col min="6" max="6" width="28.140625" customWidth="1"/>
    <col min="7" max="7" width="10.85546875" customWidth="1"/>
  </cols>
  <sheetData>
    <row r="1" spans="1:7">
      <c r="A1" s="79" t="s">
        <v>36</v>
      </c>
      <c r="B1" s="159" t="s">
        <v>124</v>
      </c>
      <c r="C1" s="159"/>
      <c r="D1" s="159"/>
      <c r="E1" s="159"/>
      <c r="F1" s="159"/>
      <c r="G1" s="80" t="s">
        <v>125</v>
      </c>
    </row>
    <row r="2" spans="1:7">
      <c r="A2" s="81">
        <v>43622</v>
      </c>
      <c r="B2" s="162" t="s">
        <v>2</v>
      </c>
      <c r="C2" s="162"/>
      <c r="D2" s="162"/>
      <c r="E2" s="162"/>
      <c r="F2" s="162"/>
      <c r="G2" s="82" t="s">
        <v>149</v>
      </c>
    </row>
    <row r="3" spans="1:7">
      <c r="A3" s="81">
        <v>43667</v>
      </c>
      <c r="B3" s="162" t="s">
        <v>3</v>
      </c>
      <c r="C3" s="162"/>
      <c r="D3" s="162"/>
      <c r="E3" s="162"/>
      <c r="F3" s="162"/>
      <c r="G3" s="82" t="s">
        <v>148</v>
      </c>
    </row>
    <row r="4" spans="1:7">
      <c r="A4" s="81">
        <v>43671</v>
      </c>
      <c r="B4" s="162" t="s">
        <v>5</v>
      </c>
      <c r="C4" s="162"/>
      <c r="D4" s="162"/>
      <c r="E4" s="162"/>
      <c r="F4" s="162"/>
      <c r="G4" s="82" t="s">
        <v>147</v>
      </c>
    </row>
    <row r="5" spans="1:7">
      <c r="A5" s="81">
        <v>43692</v>
      </c>
      <c r="B5" s="162" t="s">
        <v>3</v>
      </c>
      <c r="C5" s="162"/>
      <c r="D5" s="162"/>
      <c r="E5" s="162"/>
      <c r="F5" s="162"/>
      <c r="G5" s="82" t="s">
        <v>146</v>
      </c>
    </row>
    <row r="6" spans="1:7">
      <c r="A6" s="81">
        <v>43719</v>
      </c>
      <c r="B6" s="162" t="s">
        <v>4</v>
      </c>
      <c r="C6" s="162"/>
      <c r="D6" s="162"/>
      <c r="E6" s="162"/>
      <c r="F6" s="162"/>
      <c r="G6" s="82" t="s">
        <v>145</v>
      </c>
    </row>
    <row r="7" spans="1:7">
      <c r="A7" s="81">
        <v>43726</v>
      </c>
      <c r="B7" s="162" t="s">
        <v>75</v>
      </c>
      <c r="C7" s="162"/>
      <c r="D7" s="162"/>
      <c r="E7" s="162"/>
      <c r="F7" s="162"/>
      <c r="G7" s="82" t="s">
        <v>144</v>
      </c>
    </row>
    <row r="8" spans="1:7">
      <c r="A8" s="81">
        <v>43727</v>
      </c>
      <c r="B8" s="162" t="s">
        <v>6</v>
      </c>
      <c r="C8" s="162"/>
      <c r="D8" s="162"/>
      <c r="E8" s="162"/>
      <c r="F8" s="162"/>
      <c r="G8" s="82" t="s">
        <v>143</v>
      </c>
    </row>
    <row r="9" spans="1:7">
      <c r="A9" s="81">
        <v>43738</v>
      </c>
      <c r="B9" s="162" t="s">
        <v>28</v>
      </c>
      <c r="C9" s="162"/>
      <c r="D9" s="162"/>
      <c r="E9" s="162"/>
      <c r="F9" s="162"/>
      <c r="G9" s="82" t="s">
        <v>142</v>
      </c>
    </row>
    <row r="10" spans="1:7">
      <c r="A10" s="81">
        <v>43741</v>
      </c>
      <c r="B10" s="162" t="s">
        <v>29</v>
      </c>
      <c r="C10" s="162"/>
      <c r="D10" s="162"/>
      <c r="E10" s="162"/>
      <c r="F10" s="162"/>
      <c r="G10" s="82" t="s">
        <v>141</v>
      </c>
    </row>
    <row r="11" spans="1:7" s="78" customFormat="1">
      <c r="A11" s="81">
        <v>43753</v>
      </c>
      <c r="B11" s="162" t="s">
        <v>30</v>
      </c>
      <c r="C11" s="162"/>
      <c r="D11" s="162"/>
      <c r="E11" s="162"/>
      <c r="F11" s="162"/>
      <c r="G11" s="82" t="s">
        <v>140</v>
      </c>
    </row>
    <row r="12" spans="1:7" s="78" customFormat="1">
      <c r="A12" s="81">
        <v>43780</v>
      </c>
      <c r="B12" s="162" t="s">
        <v>43</v>
      </c>
      <c r="C12" s="162"/>
      <c r="D12" s="162"/>
      <c r="E12" s="162"/>
      <c r="F12" s="162"/>
      <c r="G12" s="82" t="s">
        <v>139</v>
      </c>
    </row>
    <row r="13" spans="1:7" s="78" customFormat="1">
      <c r="A13" s="81">
        <v>43821</v>
      </c>
      <c r="B13" s="162" t="s">
        <v>44</v>
      </c>
      <c r="C13" s="162"/>
      <c r="D13" s="162"/>
      <c r="E13" s="162"/>
      <c r="F13" s="162"/>
      <c r="G13" s="82" t="s">
        <v>138</v>
      </c>
    </row>
    <row r="14" spans="1:7" s="78" customFormat="1">
      <c r="A14" s="81">
        <v>43829</v>
      </c>
      <c r="B14" s="162" t="s">
        <v>51</v>
      </c>
      <c r="C14" s="162"/>
      <c r="D14" s="162"/>
      <c r="E14" s="162"/>
      <c r="F14" s="162"/>
      <c r="G14" s="82" t="s">
        <v>137</v>
      </c>
    </row>
    <row r="15" spans="1:7" s="78" customFormat="1">
      <c r="A15" s="81">
        <v>43830</v>
      </c>
      <c r="B15" s="162" t="s">
        <v>74</v>
      </c>
      <c r="C15" s="162"/>
      <c r="D15" s="162"/>
      <c r="E15" s="162"/>
      <c r="F15" s="162"/>
      <c r="G15" s="82" t="s">
        <v>136</v>
      </c>
    </row>
    <row r="16" spans="1:7">
      <c r="A16" s="81">
        <v>43854</v>
      </c>
      <c r="B16" s="162" t="s">
        <v>91</v>
      </c>
      <c r="C16" s="162"/>
      <c r="D16" s="162"/>
      <c r="E16" s="162"/>
      <c r="F16" s="162"/>
      <c r="G16" s="82" t="s">
        <v>135</v>
      </c>
    </row>
    <row r="17" spans="1:7">
      <c r="A17" s="81">
        <v>43879</v>
      </c>
      <c r="B17" s="162" t="s">
        <v>110</v>
      </c>
      <c r="C17" s="162"/>
      <c r="D17" s="162"/>
      <c r="E17" s="162"/>
      <c r="F17" s="162"/>
      <c r="G17" s="82" t="s">
        <v>134</v>
      </c>
    </row>
    <row r="18" spans="1:7">
      <c r="A18" s="81">
        <v>43934</v>
      </c>
      <c r="B18" s="162" t="s">
        <v>126</v>
      </c>
      <c r="C18" s="162"/>
      <c r="D18" s="162"/>
      <c r="E18" s="162"/>
      <c r="F18" s="162"/>
      <c r="G18" s="82" t="s">
        <v>133</v>
      </c>
    </row>
    <row r="19" spans="1:7">
      <c r="A19" s="81">
        <v>44446</v>
      </c>
      <c r="B19" s="162" t="s">
        <v>150</v>
      </c>
      <c r="C19" s="162"/>
      <c r="D19" s="162"/>
      <c r="E19" s="162"/>
      <c r="F19" s="162"/>
      <c r="G19" s="82" t="s">
        <v>151</v>
      </c>
    </row>
    <row r="20" spans="1:7" hidden="1">
      <c r="A20" s="81"/>
      <c r="B20" s="162"/>
      <c r="C20" s="162"/>
      <c r="D20" s="162"/>
      <c r="E20" s="162"/>
      <c r="F20" s="162"/>
      <c r="G20" s="82"/>
    </row>
    <row r="21" spans="1:7" hidden="1">
      <c r="A21" s="81"/>
      <c r="B21" s="162"/>
      <c r="C21" s="162"/>
      <c r="D21" s="162"/>
      <c r="E21" s="162"/>
      <c r="F21" s="162"/>
      <c r="G21" s="82"/>
    </row>
    <row r="22" spans="1:7" hidden="1">
      <c r="A22" s="81"/>
      <c r="B22" s="162"/>
      <c r="C22" s="162"/>
      <c r="D22" s="162"/>
      <c r="E22" s="162"/>
      <c r="F22" s="162"/>
      <c r="G22" s="82"/>
    </row>
    <row r="23" spans="1:7">
      <c r="A23" s="163" t="s">
        <v>161</v>
      </c>
      <c r="B23" s="163"/>
      <c r="C23" s="163"/>
      <c r="D23" s="163"/>
      <c r="E23" s="163"/>
      <c r="F23" s="163"/>
      <c r="G23" s="160"/>
    </row>
    <row r="24" spans="1:7">
      <c r="A24" s="163"/>
      <c r="B24" s="163"/>
      <c r="C24" s="163"/>
      <c r="D24" s="163"/>
      <c r="E24" s="163"/>
      <c r="F24" s="163"/>
      <c r="G24" s="161"/>
    </row>
  </sheetData>
  <sheetProtection password="E91C" sheet="1" objects="1" scenarios="1" selectLockedCells="1"/>
  <customSheetViews>
    <customSheetView guid="{904595E5-53F2-4A39-BD2C-9E911C3751B8}" scale="240" showPageBreaks="1" showGridLines="0" printArea="1" hiddenRows="1" view="pageBreakPreview">
      <selection activeCell="G17" sqref="G17"/>
      <colBreaks count="1" manualBreakCount="1">
        <brk id="7" max="1048575" man="1"/>
      </colBreaks>
      <pageMargins left="0.7" right="0.7" top="0.75" bottom="0.75" header="0.3" footer="0.3"/>
      <pageSetup orientation="portrait" horizontalDpi="4294967293" verticalDpi="4294967293" r:id="rId1"/>
    </customSheetView>
  </customSheetViews>
  <mergeCells count="24">
    <mergeCell ref="B19:F19"/>
    <mergeCell ref="B20:F20"/>
    <mergeCell ref="B21:F21"/>
    <mergeCell ref="B22:F22"/>
    <mergeCell ref="B15:F15"/>
    <mergeCell ref="B16:F16"/>
    <mergeCell ref="B17:F17"/>
    <mergeCell ref="B18:F18"/>
    <mergeCell ref="B1:F1"/>
    <mergeCell ref="G23:G24"/>
    <mergeCell ref="B2:F2"/>
    <mergeCell ref="B10:F10"/>
    <mergeCell ref="B11:F11"/>
    <mergeCell ref="A23:F24"/>
    <mergeCell ref="B9:F9"/>
    <mergeCell ref="B8:F8"/>
    <mergeCell ref="B7:F7"/>
    <mergeCell ref="B6:F6"/>
    <mergeCell ref="B5:F5"/>
    <mergeCell ref="B12:F12"/>
    <mergeCell ref="B13:F13"/>
    <mergeCell ref="B14:F14"/>
    <mergeCell ref="B4:F4"/>
    <mergeCell ref="B3:F3"/>
  </mergeCells>
  <pageMargins left="0.7" right="0.7" top="0.75" bottom="0.75" header="0.3" footer="0.3"/>
  <pageSetup orientation="portrait" horizontalDpi="4294967293" verticalDpi="4294967293" r:id="rId2"/>
  <colBreaks count="1" manualBreakCount="1">
    <brk id="7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2"/>
  <sheetViews>
    <sheetView workbookViewId="0">
      <selection activeCell="B29" sqref="B29"/>
    </sheetView>
  </sheetViews>
  <sheetFormatPr defaultRowHeight="15"/>
  <cols>
    <col min="1" max="1" width="1.42578125" customWidth="1"/>
    <col min="4" max="4" width="11.140625" customWidth="1"/>
    <col min="13" max="13" width="9.140625" customWidth="1"/>
    <col min="14" max="14" width="9" customWidth="1"/>
    <col min="15" max="15" width="1" customWidth="1"/>
  </cols>
  <sheetData>
    <row r="1" spans="1:14" ht="6.7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5.75" customHeight="1">
      <c r="A2" s="2"/>
      <c r="B2" s="165" t="s">
        <v>42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7"/>
    </row>
    <row r="3" spans="1:14" ht="15" customHeight="1">
      <c r="A3" s="2"/>
      <c r="B3" s="168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70"/>
    </row>
    <row r="4" spans="1:14" ht="15" customHeight="1">
      <c r="A4" s="2"/>
      <c r="B4" s="168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1:14" ht="15" customHeight="1">
      <c r="A5" s="2"/>
      <c r="B5" s="168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1:14" ht="15" customHeight="1">
      <c r="A6" s="2"/>
      <c r="B6" s="168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1:14" ht="15" customHeight="1">
      <c r="A7" s="2"/>
      <c r="B7" s="171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3"/>
    </row>
    <row r="8" spans="1:14">
      <c r="A8" s="3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</row>
    <row r="9" spans="1:14" ht="19.5">
      <c r="A9" s="3"/>
      <c r="B9" s="19" t="s">
        <v>26</v>
      </c>
      <c r="C9" s="19"/>
      <c r="D9" s="19"/>
      <c r="E9" s="19"/>
      <c r="F9" s="19"/>
      <c r="G9" s="19"/>
      <c r="N9" s="3"/>
    </row>
    <row r="10" spans="1:14">
      <c r="A10" s="3"/>
      <c r="N10" s="3"/>
    </row>
    <row r="11" spans="1:14">
      <c r="A11" s="3"/>
      <c r="B11" s="177" t="s">
        <v>27</v>
      </c>
      <c r="C11" s="177"/>
      <c r="D11" s="177"/>
      <c r="E11" s="177"/>
      <c r="F11" s="177"/>
      <c r="G11" s="177"/>
      <c r="N11" s="3"/>
    </row>
    <row r="12" spans="1:14">
      <c r="A12" s="3"/>
      <c r="B12" t="s">
        <v>13</v>
      </c>
      <c r="N12" s="3"/>
    </row>
    <row r="13" spans="1:14">
      <c r="A13" s="3"/>
      <c r="N13" s="3"/>
    </row>
    <row r="14" spans="1:14">
      <c r="A14" s="3"/>
      <c r="B14" s="20" t="s">
        <v>14</v>
      </c>
      <c r="N14" s="3"/>
    </row>
    <row r="15" spans="1:14">
      <c r="A15" s="3"/>
      <c r="N15" s="3"/>
    </row>
    <row r="16" spans="1:14">
      <c r="A16" s="3"/>
      <c r="N16" s="3"/>
    </row>
    <row r="17" spans="1:14">
      <c r="A17" s="3"/>
      <c r="B17" s="176" t="s">
        <v>15</v>
      </c>
      <c r="C17" s="176"/>
      <c r="D17" s="176"/>
      <c r="E17" s="83"/>
      <c r="G17" s="23" t="s">
        <v>24</v>
      </c>
      <c r="H17" s="23"/>
      <c r="I17" s="23"/>
      <c r="J17" s="23"/>
      <c r="K17" s="23"/>
      <c r="N17" s="3"/>
    </row>
    <row r="18" spans="1:14">
      <c r="A18" s="3"/>
      <c r="B18" s="176" t="s">
        <v>18</v>
      </c>
      <c r="C18" s="176"/>
      <c r="D18" s="176"/>
      <c r="E18" s="176"/>
      <c r="G18" s="23" t="s">
        <v>22</v>
      </c>
      <c r="H18" s="23"/>
      <c r="I18" s="23"/>
      <c r="J18" s="23"/>
      <c r="K18" s="23"/>
      <c r="N18" s="3"/>
    </row>
    <row r="19" spans="1:14">
      <c r="A19" s="3"/>
      <c r="B19" s="176" t="s">
        <v>16</v>
      </c>
      <c r="C19" s="176"/>
      <c r="D19" s="176"/>
      <c r="E19" s="176"/>
      <c r="G19" s="174" t="s">
        <v>23</v>
      </c>
      <c r="H19" s="174"/>
      <c r="I19" s="174"/>
      <c r="J19" s="174"/>
      <c r="K19" s="174"/>
      <c r="N19" s="3"/>
    </row>
    <row r="20" spans="1:14">
      <c r="A20" s="3"/>
      <c r="B20" s="176" t="s">
        <v>17</v>
      </c>
      <c r="C20" s="176"/>
      <c r="D20" s="176"/>
      <c r="E20" s="176"/>
      <c r="G20" s="21"/>
      <c r="H20" s="21"/>
      <c r="I20" s="21"/>
      <c r="J20" s="21"/>
      <c r="K20" s="21"/>
      <c r="N20" s="3"/>
    </row>
    <row r="21" spans="1:14">
      <c r="A21" s="3"/>
      <c r="N21" s="3"/>
    </row>
    <row r="22" spans="1:14">
      <c r="A22" s="3"/>
      <c r="B22" t="s">
        <v>13</v>
      </c>
      <c r="N22" s="3"/>
    </row>
    <row r="23" spans="1:14">
      <c r="A23" s="3"/>
      <c r="N23" s="3"/>
    </row>
    <row r="24" spans="1:14">
      <c r="A24" s="3"/>
      <c r="C24" s="20" t="s">
        <v>19</v>
      </c>
      <c r="N24" s="3"/>
    </row>
    <row r="25" spans="1:14">
      <c r="A25" s="3"/>
      <c r="C25" t="s">
        <v>20</v>
      </c>
      <c r="N25" s="3"/>
    </row>
    <row r="26" spans="1:14">
      <c r="A26" s="3"/>
      <c r="N26" s="3"/>
    </row>
    <row r="27" spans="1:14">
      <c r="A27" s="3"/>
      <c r="N27" s="3"/>
    </row>
    <row r="28" spans="1:14">
      <c r="A28" s="3"/>
      <c r="B28" t="s">
        <v>25</v>
      </c>
      <c r="N28" s="3"/>
    </row>
    <row r="29" spans="1:14">
      <c r="A29" s="3"/>
      <c r="B29" s="22"/>
      <c r="N29" s="3"/>
    </row>
    <row r="30" spans="1:14">
      <c r="A30" s="3"/>
      <c r="N30" s="3"/>
    </row>
    <row r="31" spans="1:14">
      <c r="A31" s="3"/>
      <c r="N31" s="3"/>
    </row>
    <row r="32" spans="1:14" ht="15" customHeight="1">
      <c r="A32" s="3"/>
      <c r="B32" s="175" t="s">
        <v>21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3"/>
    </row>
    <row r="33" spans="1:14" hidden="1">
      <c r="A33" s="3"/>
      <c r="N33" s="3"/>
    </row>
    <row r="34" spans="1:14" hidden="1">
      <c r="A34" s="3"/>
      <c r="N34" s="3"/>
    </row>
    <row r="35" spans="1:14" hidden="1">
      <c r="A35" s="3"/>
      <c r="N35" s="3"/>
    </row>
    <row r="36" spans="1:14" hidden="1">
      <c r="A36" s="3"/>
      <c r="B36" t="s">
        <v>78</v>
      </c>
      <c r="N36" s="3"/>
    </row>
    <row r="37" spans="1:14" hidden="1">
      <c r="A37" s="3"/>
      <c r="B37" s="164"/>
      <c r="C37" s="164"/>
      <c r="D37" s="164"/>
      <c r="E37" s="164"/>
      <c r="F37" s="164"/>
      <c r="N37" s="3"/>
    </row>
    <row r="38" spans="1:14" hidden="1">
      <c r="A38" s="3"/>
      <c r="N38" s="3"/>
    </row>
    <row r="39" spans="1:14" hidden="1">
      <c r="A39" s="3"/>
      <c r="C39" t="s">
        <v>41</v>
      </c>
      <c r="N39" s="3"/>
    </row>
    <row r="40" spans="1:14" hidden="1">
      <c r="A40" s="3"/>
      <c r="N40" s="3"/>
    </row>
    <row r="41" spans="1:14" hidden="1">
      <c r="A41" s="3"/>
      <c r="B41" t="s">
        <v>79</v>
      </c>
      <c r="N41" s="3"/>
    </row>
    <row r="42" spans="1:14" hidden="1">
      <c r="A42" s="3"/>
      <c r="N42" s="3"/>
    </row>
    <row r="43" spans="1:14" hidden="1">
      <c r="A43" s="3"/>
      <c r="N43" s="3"/>
    </row>
    <row r="44" spans="1:14" hidden="1">
      <c r="A44" s="3"/>
      <c r="N44" s="3"/>
    </row>
    <row r="45" spans="1:14" hidden="1">
      <c r="A45" s="3"/>
      <c r="N45" s="3"/>
    </row>
    <row r="46" spans="1:14" hidden="1">
      <c r="A46" s="3"/>
      <c r="N46" s="3"/>
    </row>
    <row r="47" spans="1:14" hidden="1">
      <c r="A47" s="3"/>
      <c r="N47" s="3"/>
    </row>
    <row r="48" spans="1:14" hidden="1">
      <c r="A48" s="3"/>
      <c r="N48" s="3"/>
    </row>
    <row r="49" spans="1:14" hidden="1">
      <c r="A49" s="3"/>
      <c r="N49" s="3"/>
    </row>
    <row r="50" spans="1:14" hidden="1">
      <c r="A50" s="3"/>
      <c r="N50" s="3"/>
    </row>
    <row r="51" spans="1:14" hidden="1">
      <c r="A51" s="3"/>
      <c r="N51" s="3"/>
    </row>
    <row r="52" spans="1:14" hidden="1">
      <c r="A52" s="3"/>
      <c r="N52" s="3"/>
    </row>
    <row r="53" spans="1:14" hidden="1">
      <c r="A53" s="3"/>
      <c r="N53" s="3"/>
    </row>
    <row r="54" spans="1:14" hidden="1">
      <c r="A54" s="3"/>
      <c r="N54" s="3"/>
    </row>
    <row r="55" spans="1:14" hidden="1">
      <c r="A55" s="3"/>
      <c r="N55" s="3"/>
    </row>
    <row r="56" spans="1:14" hidden="1">
      <c r="A56" s="3"/>
      <c r="N56" s="3"/>
    </row>
    <row r="57" spans="1:14" hidden="1">
      <c r="A57" s="3"/>
      <c r="N57" s="3"/>
    </row>
    <row r="58" spans="1:14" hidden="1">
      <c r="A58" s="3"/>
      <c r="N58" s="3"/>
    </row>
    <row r="59" spans="1:14" hidden="1">
      <c r="A59" s="3"/>
      <c r="N59" s="3"/>
    </row>
    <row r="60" spans="1:14" hidden="1">
      <c r="A60" s="3"/>
      <c r="N60" s="3"/>
    </row>
    <row r="61" spans="1:14" hidden="1">
      <c r="A61" s="3"/>
      <c r="N61" s="3"/>
    </row>
    <row r="62" spans="1:14" hidden="1">
      <c r="A62" s="3"/>
      <c r="N62" s="3"/>
    </row>
    <row r="63" spans="1:14" hidden="1">
      <c r="A63" s="3"/>
      <c r="N63" s="3"/>
    </row>
    <row r="64" spans="1:14" hidden="1">
      <c r="A64" s="3"/>
      <c r="N64" s="3"/>
    </row>
    <row r="65" spans="1:14" hidden="1">
      <c r="A65" s="3"/>
      <c r="N65" s="3"/>
    </row>
    <row r="66" spans="1:14" hidden="1">
      <c r="A66" s="3"/>
      <c r="N66" s="3"/>
    </row>
    <row r="67" spans="1:14" hidden="1">
      <c r="A67" s="3"/>
      <c r="N67" s="3"/>
    </row>
    <row r="68" spans="1:14" hidden="1">
      <c r="A68" s="3"/>
      <c r="N68" s="3"/>
    </row>
    <row r="69" spans="1:14" hidden="1">
      <c r="A69" s="3"/>
      <c r="N69" s="3"/>
    </row>
    <row r="70" spans="1:14" hidden="1">
      <c r="A70" s="3"/>
      <c r="N70" s="3"/>
    </row>
    <row r="71" spans="1:14" hidden="1">
      <c r="A71" s="3"/>
      <c r="N71" s="3"/>
    </row>
    <row r="72" spans="1:14" hidden="1">
      <c r="A72" s="3"/>
      <c r="N72" s="3"/>
    </row>
    <row r="73" spans="1:14" hidden="1">
      <c r="A73" s="3"/>
      <c r="N73" s="3"/>
    </row>
    <row r="74" spans="1:14" hidden="1">
      <c r="A74" s="3"/>
      <c r="N74" s="3"/>
    </row>
    <row r="75" spans="1:14" hidden="1">
      <c r="A75" s="3"/>
      <c r="N75" s="3"/>
    </row>
    <row r="76" spans="1:14" hidden="1">
      <c r="A76" s="3"/>
      <c r="N76" s="3"/>
    </row>
    <row r="77" spans="1:14" hidden="1">
      <c r="A77" s="3"/>
      <c r="N77" s="3"/>
    </row>
    <row r="78" spans="1:14" hidden="1">
      <c r="A78" s="3"/>
      <c r="N78" s="3"/>
    </row>
    <row r="79" spans="1:14" hidden="1">
      <c r="A79" s="3"/>
      <c r="N79" s="3"/>
    </row>
    <row r="80" spans="1:14" hidden="1">
      <c r="A80" s="3"/>
      <c r="N80" s="3"/>
    </row>
    <row r="81" spans="1:14" hidden="1">
      <c r="A81" s="3"/>
      <c r="N81" s="3"/>
    </row>
    <row r="82" spans="1:14" hidden="1">
      <c r="A82" s="3"/>
      <c r="N82" s="3"/>
    </row>
    <row r="83" spans="1:14" hidden="1">
      <c r="A83" s="3"/>
      <c r="N83" s="3"/>
    </row>
    <row r="84" spans="1:14" hidden="1">
      <c r="A84" s="3"/>
      <c r="N84" s="3"/>
    </row>
    <row r="85" spans="1:14" hidden="1">
      <c r="A85" s="3"/>
      <c r="N85" s="3"/>
    </row>
    <row r="86" spans="1:14" hidden="1">
      <c r="A86" s="3"/>
      <c r="N86" s="3"/>
    </row>
    <row r="87" spans="1:14" hidden="1">
      <c r="A87" s="3"/>
      <c r="N87" s="3"/>
    </row>
    <row r="88" spans="1:14" hidden="1">
      <c r="A88" s="3"/>
      <c r="N88" s="3"/>
    </row>
    <row r="89" spans="1:14" hidden="1">
      <c r="A89" s="3"/>
      <c r="N89" s="3"/>
    </row>
    <row r="90" spans="1:14" hidden="1">
      <c r="A90" s="3"/>
      <c r="N90" s="3"/>
    </row>
    <row r="91" spans="1:14" hidden="1">
      <c r="A91" s="3"/>
      <c r="N91" s="3"/>
    </row>
    <row r="92" spans="1:14" hidden="1">
      <c r="A92" s="3"/>
      <c r="N92" s="3"/>
    </row>
    <row r="93" spans="1:14" hidden="1">
      <c r="A93" s="3"/>
      <c r="N93" s="3"/>
    </row>
    <row r="94" spans="1:14" hidden="1">
      <c r="A94" s="3"/>
      <c r="N94" s="3"/>
    </row>
    <row r="95" spans="1:14" hidden="1">
      <c r="A95" s="3"/>
      <c r="N95" s="3"/>
    </row>
    <row r="96" spans="1:14" hidden="1">
      <c r="A96" s="3"/>
      <c r="N96" s="3"/>
    </row>
    <row r="97" spans="1:14" hidden="1">
      <c r="A97" s="3"/>
      <c r="N97" s="3"/>
    </row>
    <row r="98" spans="1:14" hidden="1">
      <c r="A98" s="3"/>
      <c r="N98" s="3"/>
    </row>
    <row r="99" spans="1:14" hidden="1">
      <c r="A99" s="3"/>
      <c r="N99" s="3"/>
    </row>
    <row r="100" spans="1:14" hidden="1">
      <c r="A100" s="3"/>
      <c r="N100" s="3"/>
    </row>
    <row r="101" spans="1:14" ht="15.75" hidden="1" thickBot="1">
      <c r="A101" s="3"/>
      <c r="B101" s="4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6"/>
    </row>
    <row r="102" spans="1:14" ht="10.5" hidden="1" customHeight="1" thickTop="1"/>
    <row r="103" spans="1:14" hidden="1"/>
    <row r="104" spans="1:14" hidden="1"/>
    <row r="105" spans="1:14" hidden="1"/>
    <row r="106" spans="1:14" hidden="1"/>
    <row r="107" spans="1:14" hidden="1"/>
    <row r="108" spans="1:14" hidden="1"/>
    <row r="109" spans="1:14" hidden="1"/>
    <row r="110" spans="1:14" hidden="1"/>
    <row r="111" spans="1:14" hidden="1"/>
    <row r="112" spans="1:14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</sheetData>
  <sheetProtection password="E91C" sheet="1" objects="1" scenarios="1" selectLockedCells="1"/>
  <customSheetViews>
    <customSheetView guid="{904595E5-53F2-4A39-BD2C-9E911C3751B8}" scale="115" showPageBreaks="1" showGridLines="0" showRowCol="0" printArea="1" hiddenRows="1" view="pageBreakPreview">
      <selection activeCell="B29" sqref="B29"/>
      <pageMargins left="0.7" right="0.7" top="0.75" bottom="0.75" header="0.3" footer="0.3"/>
      <pageSetup paperSize="9" scale="62" orientation="portrait" r:id="rId1"/>
    </customSheetView>
  </customSheetViews>
  <mergeCells count="9">
    <mergeCell ref="B37:F37"/>
    <mergeCell ref="B2:N7"/>
    <mergeCell ref="G19:K19"/>
    <mergeCell ref="B32:M32"/>
    <mergeCell ref="B17:D17"/>
    <mergeCell ref="B19:E19"/>
    <mergeCell ref="B20:E20"/>
    <mergeCell ref="B18:E18"/>
    <mergeCell ref="B11:G11"/>
  </mergeCells>
  <pageMargins left="0.7" right="0.7" top="0.75" bottom="0.75" header="0.3" footer="0.3"/>
  <pageSetup paperSize="9" scale="62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90"/>
  <sheetViews>
    <sheetView showGridLines="0" view="pageBreakPreview" zoomScale="130" zoomScaleNormal="100" zoomScaleSheetLayoutView="130" workbookViewId="0">
      <selection activeCell="J72" sqref="J72"/>
    </sheetView>
  </sheetViews>
  <sheetFormatPr defaultRowHeight="15"/>
  <sheetData>
    <row r="1" spans="1:13">
      <c r="A1" s="178" t="s">
        <v>45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80"/>
    </row>
    <row r="2" spans="1:13">
      <c r="A2" s="181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3"/>
    </row>
    <row r="3" spans="1:13">
      <c r="A3" s="181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3"/>
    </row>
    <row r="4" spans="1:13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3"/>
    </row>
    <row r="5" spans="1:13" ht="15.75" thickBot="1">
      <c r="A5" s="184"/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6"/>
    </row>
    <row r="6" spans="1:13" ht="25.5">
      <c r="A6" s="101" t="s">
        <v>158</v>
      </c>
      <c r="B6" s="100"/>
      <c r="C6" s="8"/>
    </row>
    <row r="7" spans="1:13" ht="15" customHeight="1">
      <c r="B7" s="100"/>
      <c r="C7" s="8"/>
    </row>
    <row r="8" spans="1:13" ht="15" customHeight="1">
      <c r="A8" s="102"/>
      <c r="B8" s="144" t="s">
        <v>159</v>
      </c>
      <c r="C8" s="8"/>
    </row>
    <row r="9" spans="1:13" ht="15" customHeight="1">
      <c r="A9" s="101"/>
      <c r="C9" s="8"/>
    </row>
    <row r="10" spans="1:13" ht="15" customHeight="1"/>
    <row r="11" spans="1:13" ht="19.5">
      <c r="A11" s="99"/>
      <c r="B11" s="100" t="s">
        <v>160</v>
      </c>
      <c r="C11" s="99"/>
      <c r="D11" s="99"/>
      <c r="E11" s="99"/>
    </row>
    <row r="14" spans="1:13">
      <c r="J14" s="145" t="s">
        <v>162</v>
      </c>
    </row>
    <row r="15" spans="1:13" hidden="1">
      <c r="A15" t="s">
        <v>46</v>
      </c>
    </row>
    <row r="16" spans="1:13" hidden="1"/>
    <row r="17" spans="1:3" hidden="1">
      <c r="A17" t="s">
        <v>47</v>
      </c>
    </row>
    <row r="18" spans="1:3" hidden="1"/>
    <row r="19" spans="1:3" hidden="1"/>
    <row r="20" spans="1:3" hidden="1">
      <c r="C20" t="s">
        <v>80</v>
      </c>
    </row>
    <row r="21" spans="1:3" hidden="1"/>
    <row r="22" spans="1:3" hidden="1"/>
    <row r="23" spans="1:3" hidden="1"/>
    <row r="24" spans="1:3" hidden="1"/>
    <row r="25" spans="1:3" hidden="1"/>
    <row r="26" spans="1:3" hidden="1"/>
    <row r="27" spans="1:3" hidden="1"/>
    <row r="28" spans="1:3" hidden="1"/>
    <row r="29" spans="1:3" hidden="1"/>
    <row r="30" spans="1:3" hidden="1"/>
    <row r="31" spans="1:3" hidden="1"/>
    <row r="32" spans="1:3" hidden="1"/>
    <row r="33" spans="3:3" hidden="1"/>
    <row r="34" spans="3:3" hidden="1"/>
    <row r="35" spans="3:3" hidden="1"/>
    <row r="36" spans="3:3" hidden="1"/>
    <row r="37" spans="3:3" hidden="1"/>
    <row r="38" spans="3:3" hidden="1"/>
    <row r="39" spans="3:3" hidden="1"/>
    <row r="40" spans="3:3" hidden="1"/>
    <row r="41" spans="3:3" hidden="1"/>
    <row r="42" spans="3:3" hidden="1">
      <c r="C42" t="s">
        <v>48</v>
      </c>
    </row>
    <row r="43" spans="3:3" hidden="1"/>
    <row r="44" spans="3:3" hidden="1"/>
    <row r="45" spans="3:3" hidden="1"/>
    <row r="46" spans="3:3" hidden="1">
      <c r="C46" t="s">
        <v>80</v>
      </c>
    </row>
    <row r="47" spans="3:3" hidden="1"/>
    <row r="48" spans="3:3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spans="3:3" hidden="1"/>
    <row r="66" spans="3:3" hidden="1"/>
    <row r="67" spans="3:3" hidden="1">
      <c r="C67" t="s">
        <v>31</v>
      </c>
    </row>
    <row r="68" spans="3:3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</sheetData>
  <sheetProtection password="E91C" sheet="1" objects="1" scenarios="1"/>
  <customSheetViews>
    <customSheetView guid="{904595E5-53F2-4A39-BD2C-9E911C3751B8}" scale="160" showPageBreaks="1" showGridLines="0" printArea="1" hiddenRows="1" view="pageBreakPreview">
      <selection sqref="A1:M5"/>
      <pageMargins left="0.7" right="0.7" top="0.75" bottom="0.75" header="0.3" footer="0.3"/>
      <pageSetup paperSize="9" scale="66" orientation="portrait" horizontalDpi="4294967293" verticalDpi="4294967293" r:id="rId1"/>
    </customSheetView>
  </customSheetViews>
  <mergeCells count="1">
    <mergeCell ref="A1:M5"/>
  </mergeCells>
  <pageMargins left="0.7" right="0.7" top="0.75" bottom="0.75" header="0.3" footer="0.3"/>
  <pageSetup paperSize="9" scale="66" orientation="portrait" horizontalDpi="4294967293" verticalDpi="4294967293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Calculator</vt:lpstr>
      <vt:lpstr>Update History</vt:lpstr>
      <vt:lpstr>complex calculations </vt:lpstr>
      <vt:lpstr>Help</vt:lpstr>
      <vt:lpstr>Calculator!Print_Area</vt:lpstr>
      <vt:lpstr>'complex calculations '!Print_Area</vt:lpstr>
      <vt:lpstr>Help!Print_Area</vt:lpstr>
      <vt:lpstr>'Update History'!Print_Area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maths book beta 0.25</dc:title>
  <dc:creator/>
  <cp:lastModifiedBy/>
  <dcterms:created xsi:type="dcterms:W3CDTF">2019-09-11T18:56:23Z</dcterms:created>
  <dcterms:modified xsi:type="dcterms:W3CDTF">2021-09-07T15:12:14Z</dcterms:modified>
  <cp:category>calculator</cp:category>
</cp:coreProperties>
</file>